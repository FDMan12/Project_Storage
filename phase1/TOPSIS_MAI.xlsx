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dmms\Учеба\Учеба актуальное\ПМ\"/>
    </mc:Choice>
  </mc:AlternateContent>
  <xr:revisionPtr revIDLastSave="0" documentId="13_ncr:1_{17D8D338-66FF-44F8-AD59-59BC6C4104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8" i="1" l="1"/>
  <c r="F137" i="1"/>
  <c r="D137" i="1"/>
  <c r="D154" i="1" s="1"/>
  <c r="C137" i="1"/>
  <c r="F136" i="1"/>
  <c r="C136" i="1"/>
  <c r="E134" i="1"/>
  <c r="D134" i="1"/>
  <c r="C134" i="1"/>
  <c r="D133" i="1"/>
  <c r="D150" i="1" s="1"/>
  <c r="C133" i="1"/>
  <c r="C132" i="1"/>
  <c r="F129" i="1"/>
  <c r="F128" i="1"/>
  <c r="E128" i="1"/>
  <c r="G128" i="1" s="1"/>
  <c r="F127" i="1"/>
  <c r="E127" i="1"/>
  <c r="D127" i="1"/>
  <c r="G127" i="1" s="1"/>
  <c r="E126" i="1"/>
  <c r="D126" i="1"/>
  <c r="D125" i="1"/>
  <c r="F123" i="1"/>
  <c r="E123" i="1"/>
  <c r="D123" i="1"/>
  <c r="G123" i="1" s="1"/>
  <c r="C121" i="1"/>
  <c r="F120" i="1"/>
  <c r="D120" i="1"/>
  <c r="C120" i="1"/>
  <c r="F119" i="1"/>
  <c r="C119" i="1"/>
  <c r="E117" i="1"/>
  <c r="D117" i="1"/>
  <c r="G117" i="1" s="1"/>
  <c r="C117" i="1"/>
  <c r="D116" i="1"/>
  <c r="C116" i="1"/>
  <c r="C115" i="1"/>
  <c r="F112" i="1"/>
  <c r="F111" i="1"/>
  <c r="E111" i="1"/>
  <c r="F110" i="1"/>
  <c r="G110" i="1" s="1"/>
  <c r="E110" i="1"/>
  <c r="D110" i="1"/>
  <c r="E109" i="1"/>
  <c r="D109" i="1"/>
  <c r="D108" i="1"/>
  <c r="F106" i="1"/>
  <c r="E106" i="1"/>
  <c r="D106" i="1"/>
  <c r="G106" i="1" s="1"/>
  <c r="F103" i="1"/>
  <c r="F102" i="1"/>
  <c r="F153" i="1" s="1"/>
  <c r="D103" i="1"/>
  <c r="E100" i="1"/>
  <c r="D100" i="1"/>
  <c r="D99" i="1"/>
  <c r="G99" i="1" s="1"/>
  <c r="F95" i="1"/>
  <c r="F94" i="1"/>
  <c r="E94" i="1"/>
  <c r="E92" i="1"/>
  <c r="E143" i="1" s="1"/>
  <c r="D92" i="1"/>
  <c r="D143" i="1" s="1"/>
  <c r="D91" i="1"/>
  <c r="C104" i="1"/>
  <c r="G104" i="1" s="1"/>
  <c r="C103" i="1"/>
  <c r="C102" i="1"/>
  <c r="C100" i="1"/>
  <c r="C99" i="1"/>
  <c r="C98" i="1"/>
  <c r="H83" i="1"/>
  <c r="H84" i="1"/>
  <c r="H85" i="1"/>
  <c r="H82" i="1"/>
  <c r="G83" i="1"/>
  <c r="G84" i="1"/>
  <c r="G85" i="1"/>
  <c r="G82" i="1"/>
  <c r="F93" i="1"/>
  <c r="E93" i="1"/>
  <c r="F89" i="1"/>
  <c r="E89" i="1"/>
  <c r="D93" i="1"/>
  <c r="D89" i="1"/>
  <c r="C141" i="1"/>
  <c r="D141" i="1"/>
  <c r="E141" i="1"/>
  <c r="F141" i="1"/>
  <c r="C142" i="1"/>
  <c r="D142" i="1"/>
  <c r="E142" i="1"/>
  <c r="F142" i="1"/>
  <c r="C143" i="1"/>
  <c r="F143" i="1"/>
  <c r="C144" i="1"/>
  <c r="C145" i="1"/>
  <c r="D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E150" i="1"/>
  <c r="F150" i="1"/>
  <c r="C151" i="1"/>
  <c r="F151" i="1"/>
  <c r="C152" i="1"/>
  <c r="D152" i="1"/>
  <c r="E152" i="1"/>
  <c r="F152" i="1"/>
  <c r="C153" i="1"/>
  <c r="D153" i="1"/>
  <c r="E153" i="1"/>
  <c r="E154" i="1"/>
  <c r="C155" i="1"/>
  <c r="D155" i="1"/>
  <c r="E155" i="1"/>
  <c r="F155" i="1"/>
  <c r="E140" i="1"/>
  <c r="F140" i="1"/>
  <c r="C140" i="1"/>
  <c r="G138" i="1"/>
  <c r="G136" i="1"/>
  <c r="G135" i="1"/>
  <c r="G134" i="1"/>
  <c r="G132" i="1"/>
  <c r="G131" i="1"/>
  <c r="G130" i="1"/>
  <c r="G129" i="1"/>
  <c r="G126" i="1"/>
  <c r="G125" i="1"/>
  <c r="G124" i="1"/>
  <c r="G121" i="1"/>
  <c r="G120" i="1"/>
  <c r="G119" i="1"/>
  <c r="G118" i="1"/>
  <c r="G116" i="1"/>
  <c r="G115" i="1"/>
  <c r="G114" i="1"/>
  <c r="G113" i="1"/>
  <c r="G112" i="1"/>
  <c r="G111" i="1"/>
  <c r="G109" i="1"/>
  <c r="G108" i="1"/>
  <c r="G107" i="1"/>
  <c r="G90" i="1"/>
  <c r="G91" i="1"/>
  <c r="G95" i="1"/>
  <c r="G96" i="1"/>
  <c r="G97" i="1"/>
  <c r="G98" i="1"/>
  <c r="G100" i="1"/>
  <c r="G101" i="1"/>
  <c r="F84" i="1"/>
  <c r="F82" i="1"/>
  <c r="D85" i="1"/>
  <c r="C85" i="1"/>
  <c r="D83" i="1"/>
  <c r="B85" i="1"/>
  <c r="D82" i="1"/>
  <c r="B83" i="1"/>
  <c r="F83" i="1" s="1"/>
  <c r="B76" i="1"/>
  <c r="B77" i="1"/>
  <c r="B78" i="1"/>
  <c r="B75" i="1"/>
  <c r="B72" i="1"/>
  <c r="B73" i="1"/>
  <c r="B74" i="1"/>
  <c r="B71" i="1"/>
  <c r="B68" i="1"/>
  <c r="B69" i="1"/>
  <c r="B70" i="1"/>
  <c r="B67" i="1"/>
  <c r="B66" i="1"/>
  <c r="B65" i="1"/>
  <c r="B64" i="1"/>
  <c r="E60" i="1"/>
  <c r="E61" i="1"/>
  <c r="E62" i="1"/>
  <c r="E59" i="1"/>
  <c r="E56" i="1"/>
  <c r="E57" i="1"/>
  <c r="E58" i="1"/>
  <c r="E55" i="1"/>
  <c r="B60" i="1"/>
  <c r="B61" i="1"/>
  <c r="B62" i="1"/>
  <c r="B59" i="1"/>
  <c r="B56" i="1"/>
  <c r="B57" i="1"/>
  <c r="B58" i="1"/>
  <c r="B55" i="1"/>
  <c r="B43" i="1"/>
  <c r="K44" i="1"/>
  <c r="K56" i="1" s="1"/>
  <c r="L44" i="1"/>
  <c r="M44" i="1"/>
  <c r="K45" i="1"/>
  <c r="K57" i="1" s="1"/>
  <c r="L45" i="1"/>
  <c r="M45" i="1"/>
  <c r="K46" i="1"/>
  <c r="K62" i="1" s="1"/>
  <c r="L46" i="1"/>
  <c r="M46" i="1"/>
  <c r="L43" i="1"/>
  <c r="M43" i="1"/>
  <c r="K43" i="1"/>
  <c r="K59" i="1" s="1"/>
  <c r="H44" i="1"/>
  <c r="I44" i="1"/>
  <c r="J44" i="1"/>
  <c r="H45" i="1"/>
  <c r="H61" i="1" s="1"/>
  <c r="I45" i="1"/>
  <c r="J45" i="1"/>
  <c r="H46" i="1"/>
  <c r="I46" i="1"/>
  <c r="J46" i="1"/>
  <c r="I43" i="1"/>
  <c r="J43" i="1"/>
  <c r="H43" i="1"/>
  <c r="E44" i="1"/>
  <c r="F44" i="1"/>
  <c r="G44" i="1"/>
  <c r="E45" i="1"/>
  <c r="F45" i="1"/>
  <c r="G45" i="1"/>
  <c r="E46" i="1"/>
  <c r="F46" i="1"/>
  <c r="G46" i="1"/>
  <c r="F43" i="1"/>
  <c r="G43" i="1"/>
  <c r="E43" i="1"/>
  <c r="D44" i="1"/>
  <c r="D45" i="1"/>
  <c r="D46" i="1"/>
  <c r="D43" i="1"/>
  <c r="D36" i="1"/>
  <c r="E36" i="1"/>
  <c r="F36" i="1"/>
  <c r="G36" i="1"/>
  <c r="H36" i="1"/>
  <c r="I36" i="1"/>
  <c r="J36" i="1"/>
  <c r="K36" i="1"/>
  <c r="L36" i="1"/>
  <c r="M36" i="1"/>
  <c r="D37" i="1"/>
  <c r="E37" i="1"/>
  <c r="F37" i="1"/>
  <c r="G37" i="1"/>
  <c r="H37" i="1"/>
  <c r="I37" i="1"/>
  <c r="J37" i="1"/>
  <c r="K37" i="1"/>
  <c r="L37" i="1"/>
  <c r="M37" i="1"/>
  <c r="D38" i="1"/>
  <c r="E38" i="1"/>
  <c r="F38" i="1"/>
  <c r="G38" i="1"/>
  <c r="H38" i="1"/>
  <c r="I38" i="1"/>
  <c r="J38" i="1"/>
  <c r="K38" i="1"/>
  <c r="L38" i="1"/>
  <c r="M38" i="1"/>
  <c r="D39" i="1"/>
  <c r="E39" i="1"/>
  <c r="F39" i="1"/>
  <c r="G39" i="1"/>
  <c r="H39" i="1"/>
  <c r="I39" i="1"/>
  <c r="J39" i="1"/>
  <c r="K39" i="1"/>
  <c r="L39" i="1"/>
  <c r="M39" i="1"/>
  <c r="M32" i="1"/>
  <c r="M31" i="1"/>
  <c r="M30" i="1"/>
  <c r="M29" i="1"/>
  <c r="J32" i="1"/>
  <c r="J31" i="1"/>
  <c r="J30" i="1"/>
  <c r="J29" i="1"/>
  <c r="H29" i="1"/>
  <c r="H30" i="1"/>
  <c r="H31" i="1"/>
  <c r="H32" i="1"/>
  <c r="D30" i="1"/>
  <c r="D31" i="1"/>
  <c r="D32" i="1"/>
  <c r="D29" i="1"/>
  <c r="L32" i="1"/>
  <c r="L31" i="1"/>
  <c r="L30" i="1"/>
  <c r="L29" i="1"/>
  <c r="I32" i="1"/>
  <c r="I31" i="1"/>
  <c r="I30" i="1"/>
  <c r="I29" i="1"/>
  <c r="F32" i="1"/>
  <c r="F31" i="1"/>
  <c r="F30" i="1"/>
  <c r="F29" i="1"/>
  <c r="C30" i="1"/>
  <c r="C31" i="1"/>
  <c r="C32" i="1"/>
  <c r="C29" i="1"/>
  <c r="C37" i="1" s="1"/>
  <c r="C44" i="1" s="1"/>
  <c r="K32" i="1"/>
  <c r="K31" i="1"/>
  <c r="K30" i="1"/>
  <c r="K29" i="1"/>
  <c r="E32" i="1"/>
  <c r="E31" i="1"/>
  <c r="E30" i="1"/>
  <c r="E29" i="1"/>
  <c r="B29" i="1"/>
  <c r="B30" i="1"/>
  <c r="B31" i="1"/>
  <c r="B32" i="1"/>
  <c r="F154" i="1" l="1"/>
  <c r="F171" i="1" s="1"/>
  <c r="G133" i="1"/>
  <c r="E144" i="1"/>
  <c r="G137" i="1"/>
  <c r="D144" i="1"/>
  <c r="C150" i="1"/>
  <c r="D151" i="1"/>
  <c r="E151" i="1"/>
  <c r="E167" i="1" s="1"/>
  <c r="F144" i="1"/>
  <c r="F163" i="1" s="1"/>
  <c r="D140" i="1"/>
  <c r="D157" i="1" s="1"/>
  <c r="E145" i="1"/>
  <c r="E162" i="1" s="1"/>
  <c r="G102" i="1"/>
  <c r="G103" i="1"/>
  <c r="E171" i="1"/>
  <c r="G94" i="1"/>
  <c r="G92" i="1"/>
  <c r="G155" i="1"/>
  <c r="C154" i="1"/>
  <c r="C170" i="1" s="1"/>
  <c r="G93" i="1"/>
  <c r="F157" i="1"/>
  <c r="E159" i="1"/>
  <c r="D170" i="1"/>
  <c r="E166" i="1"/>
  <c r="C165" i="1"/>
  <c r="D164" i="1"/>
  <c r="G89" i="1"/>
  <c r="C163" i="1"/>
  <c r="C158" i="1"/>
  <c r="F85" i="1"/>
  <c r="D168" i="1"/>
  <c r="D166" i="1"/>
  <c r="G149" i="1"/>
  <c r="C161" i="1"/>
  <c r="C164" i="1"/>
  <c r="G143" i="1"/>
  <c r="F160" i="1"/>
  <c r="F159" i="1"/>
  <c r="G141" i="1"/>
  <c r="F167" i="1"/>
  <c r="E168" i="1"/>
  <c r="G150" i="1"/>
  <c r="D167" i="1"/>
  <c r="C166" i="1"/>
  <c r="C168" i="1"/>
  <c r="G148" i="1"/>
  <c r="C167" i="1"/>
  <c r="G146" i="1"/>
  <c r="C162" i="1"/>
  <c r="F158" i="1"/>
  <c r="C159" i="1"/>
  <c r="C157" i="1"/>
  <c r="F170" i="1"/>
  <c r="E169" i="1"/>
  <c r="E170" i="1"/>
  <c r="E172" i="1"/>
  <c r="D172" i="1"/>
  <c r="D171" i="1"/>
  <c r="G153" i="1"/>
  <c r="D169" i="1"/>
  <c r="G152" i="1"/>
  <c r="F165" i="1"/>
  <c r="F166" i="1"/>
  <c r="F168" i="1"/>
  <c r="F161" i="1"/>
  <c r="G147" i="1"/>
  <c r="F164" i="1"/>
  <c r="D163" i="1"/>
  <c r="D161" i="1"/>
  <c r="D162" i="1"/>
  <c r="G144" i="1"/>
  <c r="E157" i="1"/>
  <c r="E158" i="1"/>
  <c r="E160" i="1"/>
  <c r="G142" i="1"/>
  <c r="D158" i="1"/>
  <c r="D160" i="1"/>
  <c r="C160" i="1"/>
  <c r="G140" i="1"/>
  <c r="K58" i="1"/>
  <c r="H57" i="1"/>
  <c r="K61" i="1"/>
  <c r="K60" i="1"/>
  <c r="K55" i="1"/>
  <c r="D47" i="1"/>
  <c r="D48" i="1"/>
  <c r="H62" i="1"/>
  <c r="D51" i="1"/>
  <c r="H59" i="1"/>
  <c r="H55" i="1"/>
  <c r="D52" i="1"/>
  <c r="H56" i="1"/>
  <c r="D54" i="1"/>
  <c r="H60" i="1"/>
  <c r="D50" i="1"/>
  <c r="H58" i="1"/>
  <c r="D49" i="1"/>
  <c r="D53" i="1"/>
  <c r="B37" i="1"/>
  <c r="B44" i="1" s="1"/>
  <c r="B48" i="1" s="1"/>
  <c r="C52" i="1"/>
  <c r="C48" i="1"/>
  <c r="C39" i="1"/>
  <c r="C46" i="1" s="1"/>
  <c r="C36" i="1"/>
  <c r="C43" i="1" s="1"/>
  <c r="C38" i="1"/>
  <c r="C45" i="1" s="1"/>
  <c r="B38" i="1"/>
  <c r="B45" i="1" s="1"/>
  <c r="B36" i="1"/>
  <c r="B39" i="1"/>
  <c r="B46" i="1" s="1"/>
  <c r="F172" i="1" l="1"/>
  <c r="F169" i="1"/>
  <c r="F162" i="1"/>
  <c r="E165" i="1"/>
  <c r="G145" i="1"/>
  <c r="G151" i="1"/>
  <c r="E164" i="1"/>
  <c r="E161" i="1"/>
  <c r="G161" i="1" s="1"/>
  <c r="C176" i="1" s="1"/>
  <c r="E163" i="1"/>
  <c r="G163" i="1" s="1"/>
  <c r="C178" i="1" s="1"/>
  <c r="C169" i="1"/>
  <c r="D165" i="1"/>
  <c r="G165" i="1" s="1"/>
  <c r="D176" i="1" s="1"/>
  <c r="D159" i="1"/>
  <c r="G159" i="1"/>
  <c r="B178" i="1" s="1"/>
  <c r="C172" i="1"/>
  <c r="G154" i="1"/>
  <c r="C171" i="1"/>
  <c r="G171" i="1" s="1"/>
  <c r="E178" i="1" s="1"/>
  <c r="G168" i="1"/>
  <c r="D179" i="1" s="1"/>
  <c r="G158" i="1"/>
  <c r="B177" i="1" s="1"/>
  <c r="G170" i="1"/>
  <c r="E177" i="1" s="1"/>
  <c r="G166" i="1"/>
  <c r="D177" i="1" s="1"/>
  <c r="G167" i="1"/>
  <c r="D178" i="1" s="1"/>
  <c r="G164" i="1"/>
  <c r="C179" i="1" s="1"/>
  <c r="G162" i="1"/>
  <c r="C177" i="1" s="1"/>
  <c r="G157" i="1"/>
  <c r="B176" i="1" s="1"/>
  <c r="G160" i="1"/>
  <c r="B179" i="1" s="1"/>
  <c r="B52" i="1"/>
  <c r="C53" i="1"/>
  <c r="C49" i="1"/>
  <c r="C47" i="1"/>
  <c r="C51" i="1"/>
  <c r="C54" i="1"/>
  <c r="C50" i="1"/>
  <c r="B50" i="1"/>
  <c r="B54" i="1"/>
  <c r="B53" i="1"/>
  <c r="B49" i="1"/>
  <c r="B47" i="1"/>
  <c r="B63" i="1" s="1"/>
  <c r="B51" i="1"/>
  <c r="G169" i="1" l="1"/>
  <c r="E176" i="1" s="1"/>
  <c r="G172" i="1"/>
  <c r="E179" i="1" s="1"/>
  <c r="F177" i="1"/>
  <c r="F178" i="1"/>
  <c r="F176" i="1"/>
  <c r="F179" i="1"/>
  <c r="G179" i="1" l="1"/>
  <c r="G177" i="1"/>
  <c r="G178" i="1"/>
  <c r="G176" i="1"/>
</calcChain>
</file>

<file path=xl/sharedStrings.xml><?xml version="1.0" encoding="utf-8"?>
<sst xmlns="http://schemas.openxmlformats.org/spreadsheetml/2006/main" count="263" uniqueCount="47">
  <si>
    <t>Склад</t>
  </si>
  <si>
    <t>Платформа курсов</t>
  </si>
  <si>
    <t>Финансовый учет</t>
  </si>
  <si>
    <t>Автоматизация задач</t>
  </si>
  <si>
    <t>Песс.</t>
  </si>
  <si>
    <t>Ожид.</t>
  </si>
  <si>
    <t>Опт.</t>
  </si>
  <si>
    <t>Трудозатраты</t>
  </si>
  <si>
    <t>Сложность организации</t>
  </si>
  <si>
    <t>Актуальность</t>
  </si>
  <si>
    <t>Мастштабируемость</t>
  </si>
  <si>
    <t>Михайлов</t>
  </si>
  <si>
    <t>Легкунов</t>
  </si>
  <si>
    <t>Хайдуков</t>
  </si>
  <si>
    <t>Веса</t>
  </si>
  <si>
    <t>С1</t>
  </si>
  <si>
    <t>С2</t>
  </si>
  <si>
    <t>С3</t>
  </si>
  <si>
    <t>С4</t>
  </si>
  <si>
    <t>Итоговая оценка</t>
  </si>
  <si>
    <t>Первичная оценка</t>
  </si>
  <si>
    <t>Нормализованная оценка</t>
  </si>
  <si>
    <t>Взвешенная оценка</t>
  </si>
  <si>
    <t>X_max</t>
  </si>
  <si>
    <t>X_min</t>
  </si>
  <si>
    <t>X_max_delta</t>
  </si>
  <si>
    <t>X_min_delta</t>
  </si>
  <si>
    <t>d*i</t>
  </si>
  <si>
    <t>d-i</t>
  </si>
  <si>
    <t>Коэф. Близости</t>
  </si>
  <si>
    <t>Ранг</t>
  </si>
  <si>
    <t>TOPSIS</t>
  </si>
  <si>
    <t>C1</t>
  </si>
  <si>
    <t>C2</t>
  </si>
  <si>
    <t>C3</t>
  </si>
  <si>
    <t>C4</t>
  </si>
  <si>
    <t>Матрица парных сравнений</t>
  </si>
  <si>
    <t>Сумма</t>
  </si>
  <si>
    <t>Курсы</t>
  </si>
  <si>
    <t>Финансы</t>
  </si>
  <si>
    <t>Задачи</t>
  </si>
  <si>
    <t>Общая оценка</t>
  </si>
  <si>
    <t>Нормированная оценка</t>
  </si>
  <si>
    <t>Итоговая матрица</t>
  </si>
  <si>
    <t>Произв.</t>
  </si>
  <si>
    <t>Локальный вектор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</si>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</sst>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"/>
  <sheetViews>
    <sheetView tabSelected="1" topLeftCell="A12" workbookViewId="0">
      <selection activeCell="C17" sqref="C17"/>
    </sheetView>
  </sheetViews>
  <sheetFormatPr defaultRowHeight="14.4" x14ac:dyDescent="0.3"/>
  <cols>
    <col min="1" max="1" width="22.5546875" style="1" customWidth="1"/>
    <col min="2" max="13" width="8.88671875" style="1"/>
    <col min="14" max="14" width="17.88671875" style="1" customWidth="1"/>
    <col min="15" max="16384" width="8.88671875" style="1"/>
  </cols>
  <sheetData>
    <row r="1" spans="1:14" ht="15" thickBot="1" x14ac:dyDescent="0.35">
      <c r="A1" s="38"/>
      <c r="B1" s="26" t="s">
        <v>20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31"/>
    </row>
    <row r="2" spans="1:14" ht="15" thickBot="1" x14ac:dyDescent="0.35">
      <c r="A2" s="39"/>
      <c r="B2" s="26" t="s">
        <v>7</v>
      </c>
      <c r="C2" s="27"/>
      <c r="D2" s="31"/>
      <c r="E2" s="26" t="s">
        <v>8</v>
      </c>
      <c r="F2" s="27"/>
      <c r="G2" s="31"/>
      <c r="H2" s="26" t="s">
        <v>9</v>
      </c>
      <c r="I2" s="27"/>
      <c r="J2" s="31"/>
      <c r="K2" s="26" t="s">
        <v>10</v>
      </c>
      <c r="L2" s="27"/>
      <c r="M2" s="31"/>
    </row>
    <row r="3" spans="1:14" ht="15" thickBot="1" x14ac:dyDescent="0.35">
      <c r="A3" s="40"/>
      <c r="B3" s="10" t="s">
        <v>4</v>
      </c>
      <c r="C3" s="10" t="s">
        <v>5</v>
      </c>
      <c r="D3" s="10" t="s">
        <v>6</v>
      </c>
      <c r="E3" s="10" t="s">
        <v>4</v>
      </c>
      <c r="F3" s="10" t="s">
        <v>5</v>
      </c>
      <c r="G3" s="10" t="s">
        <v>6</v>
      </c>
      <c r="H3" s="10" t="s">
        <v>4</v>
      </c>
      <c r="I3" s="10" t="s">
        <v>5</v>
      </c>
      <c r="J3" s="10" t="s">
        <v>6</v>
      </c>
      <c r="K3" s="10" t="s">
        <v>4</v>
      </c>
      <c r="L3" s="10" t="s">
        <v>5</v>
      </c>
      <c r="M3" s="10" t="s">
        <v>6</v>
      </c>
    </row>
    <row r="4" spans="1:14" ht="15" thickBot="1" x14ac:dyDescent="0.35">
      <c r="A4" s="10" t="s">
        <v>0</v>
      </c>
      <c r="B4" s="4">
        <v>6</v>
      </c>
      <c r="C4" s="13">
        <v>5</v>
      </c>
      <c r="D4" s="14">
        <v>4</v>
      </c>
      <c r="E4" s="4">
        <v>7</v>
      </c>
      <c r="F4" s="13">
        <v>5</v>
      </c>
      <c r="G4" s="14">
        <v>4</v>
      </c>
      <c r="H4" s="4">
        <v>5</v>
      </c>
      <c r="I4" s="13">
        <v>6</v>
      </c>
      <c r="J4" s="14">
        <v>8</v>
      </c>
      <c r="K4" s="1">
        <v>4</v>
      </c>
      <c r="L4" s="1">
        <v>5</v>
      </c>
      <c r="M4" s="6">
        <v>7</v>
      </c>
      <c r="N4" s="38" t="s">
        <v>11</v>
      </c>
    </row>
    <row r="5" spans="1:14" ht="15" thickBot="1" x14ac:dyDescent="0.35">
      <c r="A5" s="10" t="s">
        <v>1</v>
      </c>
      <c r="B5" s="5">
        <v>7</v>
      </c>
      <c r="C5" s="1">
        <v>5</v>
      </c>
      <c r="D5" s="6">
        <v>4</v>
      </c>
      <c r="E5" s="5">
        <v>6</v>
      </c>
      <c r="F5" s="1">
        <v>5</v>
      </c>
      <c r="G5" s="6">
        <v>4</v>
      </c>
      <c r="H5" s="5">
        <v>3</v>
      </c>
      <c r="I5" s="1">
        <v>5</v>
      </c>
      <c r="J5" s="6">
        <v>6</v>
      </c>
      <c r="K5" s="1">
        <v>3</v>
      </c>
      <c r="L5" s="1">
        <v>4</v>
      </c>
      <c r="M5" s="6">
        <v>6</v>
      </c>
      <c r="N5" s="39"/>
    </row>
    <row r="6" spans="1:14" ht="15" thickBot="1" x14ac:dyDescent="0.35">
      <c r="A6" s="10" t="s">
        <v>2</v>
      </c>
      <c r="B6" s="5">
        <v>4</v>
      </c>
      <c r="C6" s="1">
        <v>4</v>
      </c>
      <c r="D6" s="6">
        <v>3</v>
      </c>
      <c r="E6" s="5">
        <v>5</v>
      </c>
      <c r="F6" s="1">
        <v>3</v>
      </c>
      <c r="G6" s="6">
        <v>2</v>
      </c>
      <c r="H6" s="5">
        <v>2</v>
      </c>
      <c r="I6" s="1">
        <v>3</v>
      </c>
      <c r="J6" s="6">
        <v>4</v>
      </c>
      <c r="K6" s="1">
        <v>3</v>
      </c>
      <c r="L6" s="1">
        <v>4</v>
      </c>
      <c r="M6" s="6">
        <v>5</v>
      </c>
      <c r="N6" s="39"/>
    </row>
    <row r="7" spans="1:14" ht="15" thickBot="1" x14ac:dyDescent="0.35">
      <c r="A7" s="10" t="s">
        <v>3</v>
      </c>
      <c r="B7" s="7">
        <v>5</v>
      </c>
      <c r="C7" s="8">
        <v>4</v>
      </c>
      <c r="D7" s="9">
        <v>3</v>
      </c>
      <c r="E7" s="7">
        <v>5</v>
      </c>
      <c r="F7" s="8">
        <v>4</v>
      </c>
      <c r="G7" s="9">
        <v>2</v>
      </c>
      <c r="H7" s="7">
        <v>2</v>
      </c>
      <c r="I7" s="8">
        <v>4</v>
      </c>
      <c r="J7" s="9">
        <v>5</v>
      </c>
      <c r="K7" s="8">
        <v>3</v>
      </c>
      <c r="L7" s="8">
        <v>4</v>
      </c>
      <c r="M7" s="9">
        <v>6</v>
      </c>
      <c r="N7" s="40"/>
    </row>
    <row r="8" spans="1:14" ht="15" thickBot="1" x14ac:dyDescent="0.35">
      <c r="A8" s="10" t="s">
        <v>0</v>
      </c>
      <c r="B8" s="4">
        <v>7</v>
      </c>
      <c r="C8" s="13">
        <v>6</v>
      </c>
      <c r="D8" s="14">
        <v>4</v>
      </c>
      <c r="E8" s="4">
        <v>7</v>
      </c>
      <c r="F8" s="13">
        <v>6</v>
      </c>
      <c r="G8" s="14">
        <v>4</v>
      </c>
      <c r="H8" s="13">
        <v>5</v>
      </c>
      <c r="I8" s="13">
        <v>7</v>
      </c>
      <c r="J8" s="13">
        <v>8</v>
      </c>
      <c r="K8" s="4">
        <v>4</v>
      </c>
      <c r="L8" s="13">
        <v>6</v>
      </c>
      <c r="M8" s="14">
        <v>7</v>
      </c>
      <c r="N8" s="38" t="s">
        <v>12</v>
      </c>
    </row>
    <row r="9" spans="1:14" ht="15" thickBot="1" x14ac:dyDescent="0.35">
      <c r="A9" s="10" t="s">
        <v>1</v>
      </c>
      <c r="B9" s="5">
        <v>6</v>
      </c>
      <c r="C9" s="1">
        <v>5</v>
      </c>
      <c r="D9" s="6">
        <v>4</v>
      </c>
      <c r="E9" s="5">
        <v>5</v>
      </c>
      <c r="F9" s="1">
        <v>4</v>
      </c>
      <c r="G9" s="6">
        <v>3</v>
      </c>
      <c r="H9" s="1">
        <v>3</v>
      </c>
      <c r="I9" s="1">
        <v>4</v>
      </c>
      <c r="J9" s="1">
        <v>5</v>
      </c>
      <c r="K9" s="5">
        <v>3</v>
      </c>
      <c r="L9" s="1">
        <v>4</v>
      </c>
      <c r="M9" s="6">
        <v>6</v>
      </c>
      <c r="N9" s="39"/>
    </row>
    <row r="10" spans="1:14" ht="15" thickBot="1" x14ac:dyDescent="0.35">
      <c r="A10" s="10" t="s">
        <v>2</v>
      </c>
      <c r="B10" s="5">
        <v>5</v>
      </c>
      <c r="C10" s="1">
        <v>4</v>
      </c>
      <c r="D10" s="6">
        <v>3</v>
      </c>
      <c r="E10" s="5">
        <v>4</v>
      </c>
      <c r="F10" s="1">
        <v>3</v>
      </c>
      <c r="G10" s="6">
        <v>2</v>
      </c>
      <c r="H10" s="1">
        <v>2</v>
      </c>
      <c r="I10" s="1">
        <v>3</v>
      </c>
      <c r="J10" s="1">
        <v>4</v>
      </c>
      <c r="K10" s="5">
        <v>2</v>
      </c>
      <c r="L10" s="1">
        <v>4</v>
      </c>
      <c r="M10" s="6">
        <v>5</v>
      </c>
      <c r="N10" s="39"/>
    </row>
    <row r="11" spans="1:14" ht="15" thickBot="1" x14ac:dyDescent="0.35">
      <c r="A11" s="10" t="s">
        <v>3</v>
      </c>
      <c r="B11" s="7">
        <v>5</v>
      </c>
      <c r="C11" s="8">
        <v>4</v>
      </c>
      <c r="D11" s="9">
        <v>2</v>
      </c>
      <c r="E11" s="7">
        <v>5</v>
      </c>
      <c r="F11" s="8">
        <v>4</v>
      </c>
      <c r="G11" s="9">
        <v>2</v>
      </c>
      <c r="H11" s="8">
        <v>2</v>
      </c>
      <c r="I11" s="8">
        <v>3</v>
      </c>
      <c r="J11" s="8">
        <v>4</v>
      </c>
      <c r="K11" s="7">
        <v>3</v>
      </c>
      <c r="L11" s="8">
        <v>4</v>
      </c>
      <c r="M11" s="9">
        <v>6</v>
      </c>
      <c r="N11" s="40"/>
    </row>
    <row r="12" spans="1:14" ht="15" thickBot="1" x14ac:dyDescent="0.35">
      <c r="A12" s="10" t="s">
        <v>0</v>
      </c>
      <c r="B12" s="4">
        <v>7</v>
      </c>
      <c r="C12" s="13">
        <v>5</v>
      </c>
      <c r="D12" s="13">
        <v>4</v>
      </c>
      <c r="E12" s="4">
        <v>6</v>
      </c>
      <c r="F12" s="13">
        <v>5</v>
      </c>
      <c r="G12" s="14">
        <v>4</v>
      </c>
      <c r="H12" s="13">
        <v>5</v>
      </c>
      <c r="I12" s="13">
        <v>7</v>
      </c>
      <c r="J12" s="13">
        <v>9</v>
      </c>
      <c r="K12" s="4">
        <v>5</v>
      </c>
      <c r="L12" s="13">
        <v>6</v>
      </c>
      <c r="M12" s="14">
        <v>7</v>
      </c>
      <c r="N12" s="38" t="s">
        <v>13</v>
      </c>
    </row>
    <row r="13" spans="1:14" ht="15" thickBot="1" x14ac:dyDescent="0.35">
      <c r="A13" s="10" t="s">
        <v>1</v>
      </c>
      <c r="B13" s="5">
        <v>6</v>
      </c>
      <c r="C13" s="1">
        <v>5</v>
      </c>
      <c r="D13" s="1">
        <v>3</v>
      </c>
      <c r="E13" s="5">
        <v>5</v>
      </c>
      <c r="F13" s="1">
        <v>4</v>
      </c>
      <c r="G13" s="6">
        <v>3</v>
      </c>
      <c r="H13" s="1">
        <v>4</v>
      </c>
      <c r="I13" s="1">
        <v>5</v>
      </c>
      <c r="J13" s="1">
        <v>6</v>
      </c>
      <c r="K13" s="5">
        <v>3</v>
      </c>
      <c r="L13" s="1">
        <v>4</v>
      </c>
      <c r="M13" s="6">
        <v>6</v>
      </c>
      <c r="N13" s="39"/>
    </row>
    <row r="14" spans="1:14" ht="15" thickBot="1" x14ac:dyDescent="0.35">
      <c r="A14" s="10" t="s">
        <v>2</v>
      </c>
      <c r="B14" s="5">
        <v>4</v>
      </c>
      <c r="C14" s="1">
        <v>3</v>
      </c>
      <c r="D14" s="1">
        <v>2</v>
      </c>
      <c r="E14" s="5">
        <v>4</v>
      </c>
      <c r="F14" s="1">
        <v>3</v>
      </c>
      <c r="G14" s="6">
        <v>2</v>
      </c>
      <c r="H14" s="1">
        <v>2</v>
      </c>
      <c r="I14" s="1">
        <v>3</v>
      </c>
      <c r="J14" s="1">
        <v>5</v>
      </c>
      <c r="K14" s="5">
        <v>2</v>
      </c>
      <c r="L14" s="1">
        <v>4</v>
      </c>
      <c r="M14" s="6">
        <v>5</v>
      </c>
      <c r="N14" s="39"/>
    </row>
    <row r="15" spans="1:14" ht="15" thickBot="1" x14ac:dyDescent="0.35">
      <c r="A15" s="10" t="s">
        <v>3</v>
      </c>
      <c r="B15" s="7">
        <v>4</v>
      </c>
      <c r="C15" s="8">
        <v>3</v>
      </c>
      <c r="D15" s="8">
        <v>2</v>
      </c>
      <c r="E15" s="7">
        <v>5</v>
      </c>
      <c r="F15" s="8">
        <v>4</v>
      </c>
      <c r="G15" s="9">
        <v>3</v>
      </c>
      <c r="H15" s="8">
        <v>2</v>
      </c>
      <c r="I15" s="8">
        <v>3</v>
      </c>
      <c r="J15" s="8">
        <v>4</v>
      </c>
      <c r="K15" s="7">
        <v>3</v>
      </c>
      <c r="L15" s="8">
        <v>4</v>
      </c>
      <c r="M15" s="9">
        <v>5</v>
      </c>
      <c r="N15" s="40"/>
    </row>
    <row r="19" spans="1:14" ht="15" thickBot="1" x14ac:dyDescent="0.35"/>
    <row r="20" spans="1:14" ht="15" thickBot="1" x14ac:dyDescent="0.35">
      <c r="A20" s="26" t="s">
        <v>14</v>
      </c>
      <c r="B20" s="31"/>
    </row>
    <row r="21" spans="1:14" ht="15" thickBot="1" x14ac:dyDescent="0.35">
      <c r="A21" s="2" t="s">
        <v>15</v>
      </c>
      <c r="B21" s="10">
        <v>6</v>
      </c>
    </row>
    <row r="22" spans="1:14" ht="15" thickBot="1" x14ac:dyDescent="0.35">
      <c r="A22" s="2" t="s">
        <v>16</v>
      </c>
      <c r="B22" s="10">
        <v>4</v>
      </c>
    </row>
    <row r="23" spans="1:14" ht="15" thickBot="1" x14ac:dyDescent="0.35">
      <c r="A23" s="2" t="s">
        <v>17</v>
      </c>
      <c r="B23" s="10">
        <v>7</v>
      </c>
    </row>
    <row r="24" spans="1:14" ht="15" thickBot="1" x14ac:dyDescent="0.35">
      <c r="A24" s="2" t="s">
        <v>18</v>
      </c>
      <c r="B24" s="10">
        <v>5</v>
      </c>
    </row>
    <row r="25" spans="1:14" ht="15" thickBot="1" x14ac:dyDescent="0.35"/>
    <row r="26" spans="1:14" ht="15" thickBot="1" x14ac:dyDescent="0.35">
      <c r="A26" s="38"/>
      <c r="B26" s="26" t="s">
        <v>19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8" t="s">
        <v>31</v>
      </c>
    </row>
    <row r="27" spans="1:14" ht="15" thickBot="1" x14ac:dyDescent="0.35">
      <c r="A27" s="39"/>
      <c r="B27" s="26" t="s">
        <v>7</v>
      </c>
      <c r="C27" s="27"/>
      <c r="D27" s="31"/>
      <c r="E27" s="26" t="s">
        <v>8</v>
      </c>
      <c r="F27" s="27"/>
      <c r="G27" s="31"/>
      <c r="H27" s="26" t="s">
        <v>9</v>
      </c>
      <c r="I27" s="27"/>
      <c r="J27" s="31"/>
      <c r="K27" s="26" t="s">
        <v>10</v>
      </c>
      <c r="L27" s="27"/>
      <c r="M27" s="27"/>
      <c r="N27" s="29"/>
    </row>
    <row r="28" spans="1:14" ht="15" thickBot="1" x14ac:dyDescent="0.35">
      <c r="A28" s="40"/>
      <c r="B28" s="11" t="s">
        <v>4</v>
      </c>
      <c r="C28" s="11" t="s">
        <v>5</v>
      </c>
      <c r="D28" s="11" t="s">
        <v>6</v>
      </c>
      <c r="E28" s="11" t="s">
        <v>4</v>
      </c>
      <c r="F28" s="11" t="s">
        <v>5</v>
      </c>
      <c r="G28" s="11" t="s">
        <v>6</v>
      </c>
      <c r="H28" s="11" t="s">
        <v>4</v>
      </c>
      <c r="I28" s="11" t="s">
        <v>5</v>
      </c>
      <c r="J28" s="11" t="s">
        <v>6</v>
      </c>
      <c r="K28" s="11" t="s">
        <v>4</v>
      </c>
      <c r="L28" s="11" t="s">
        <v>5</v>
      </c>
      <c r="M28" s="4" t="s">
        <v>6</v>
      </c>
      <c r="N28" s="29"/>
    </row>
    <row r="29" spans="1:14" ht="15" thickBot="1" x14ac:dyDescent="0.35">
      <c r="A29" s="2" t="s">
        <v>0</v>
      </c>
      <c r="B29" s="16">
        <f>MIN(B4,B8,B12)</f>
        <v>6</v>
      </c>
      <c r="C29" s="17">
        <f>AVERAGE(C4,C8,C12)</f>
        <v>5.333333333333333</v>
      </c>
      <c r="D29" s="18">
        <f>MAX(D4,D8,D12)</f>
        <v>4</v>
      </c>
      <c r="E29" s="16">
        <f>MIN(E4,E8,E12)</f>
        <v>6</v>
      </c>
      <c r="F29" s="17">
        <f>AVERAGE(F4,F8,F12)</f>
        <v>5.333333333333333</v>
      </c>
      <c r="G29" s="18">
        <v>4</v>
      </c>
      <c r="H29" s="16">
        <f>MIN(H4,H8,H12)</f>
        <v>5</v>
      </c>
      <c r="I29" s="17">
        <f>AVERAGE(I4,I8,I12)</f>
        <v>6.666666666666667</v>
      </c>
      <c r="J29" s="18">
        <f>MAX(J4,J8,J12)</f>
        <v>9</v>
      </c>
      <c r="K29" s="16">
        <f>MIN(K4,K8,K12)</f>
        <v>4</v>
      </c>
      <c r="L29" s="17">
        <f>AVERAGE(L4,L8,L12)</f>
        <v>5.666666666666667</v>
      </c>
      <c r="M29" s="53">
        <f>MAX(M4,M8,M12)</f>
        <v>7</v>
      </c>
      <c r="N29" s="29"/>
    </row>
    <row r="30" spans="1:14" ht="15" thickBot="1" x14ac:dyDescent="0.35">
      <c r="A30" s="2" t="s">
        <v>1</v>
      </c>
      <c r="B30" s="19">
        <f t="shared" ref="B30:B31" si="0">MIN(B5,B9,B13)</f>
        <v>6</v>
      </c>
      <c r="C30" s="15">
        <f t="shared" ref="C30:C32" si="1">AVERAGE(C5,C9,C13)</f>
        <v>5</v>
      </c>
      <c r="D30" s="20">
        <f t="shared" ref="D30:D32" si="2">MAX(D5,D9,D13)</f>
        <v>4</v>
      </c>
      <c r="E30" s="19">
        <f t="shared" ref="E30:E31" si="3">MIN(E5,E9,E13)</f>
        <v>5</v>
      </c>
      <c r="F30" s="15">
        <f t="shared" ref="F30:F32" si="4">AVERAGE(F5,F9,F13)</f>
        <v>4.333333333333333</v>
      </c>
      <c r="G30" s="20">
        <v>4</v>
      </c>
      <c r="H30" s="19">
        <f t="shared" ref="H30:H31" si="5">MIN(H5,H9,H13)</f>
        <v>3</v>
      </c>
      <c r="I30" s="15">
        <f t="shared" ref="I30:I32" si="6">AVERAGE(I5,I9,I13)</f>
        <v>4.666666666666667</v>
      </c>
      <c r="J30" s="20">
        <f t="shared" ref="J30:J32" si="7">MAX(J5,J9,J13)</f>
        <v>6</v>
      </c>
      <c r="K30" s="19">
        <f t="shared" ref="K30:K31" si="8">MIN(K5,K9,K13)</f>
        <v>3</v>
      </c>
      <c r="L30" s="15">
        <f t="shared" ref="L30:L32" si="9">AVERAGE(L5,L9,L13)</f>
        <v>4</v>
      </c>
      <c r="M30" s="54">
        <f t="shared" ref="M30:M32" si="10">MAX(M5,M9,M13)</f>
        <v>6</v>
      </c>
      <c r="N30" s="29"/>
    </row>
    <row r="31" spans="1:14" ht="15" thickBot="1" x14ac:dyDescent="0.35">
      <c r="A31" s="2" t="s">
        <v>2</v>
      </c>
      <c r="B31" s="19">
        <f t="shared" si="0"/>
        <v>4</v>
      </c>
      <c r="C31" s="15">
        <f t="shared" si="1"/>
        <v>3.6666666666666665</v>
      </c>
      <c r="D31" s="20">
        <f t="shared" si="2"/>
        <v>3</v>
      </c>
      <c r="E31" s="19">
        <f t="shared" si="3"/>
        <v>4</v>
      </c>
      <c r="F31" s="15">
        <f t="shared" si="4"/>
        <v>3</v>
      </c>
      <c r="G31" s="20">
        <v>2</v>
      </c>
      <c r="H31" s="19">
        <f t="shared" si="5"/>
        <v>2</v>
      </c>
      <c r="I31" s="15">
        <f t="shared" si="6"/>
        <v>3</v>
      </c>
      <c r="J31" s="20">
        <f t="shared" si="7"/>
        <v>5</v>
      </c>
      <c r="K31" s="19">
        <f t="shared" si="8"/>
        <v>2</v>
      </c>
      <c r="L31" s="15">
        <f t="shared" si="9"/>
        <v>4</v>
      </c>
      <c r="M31" s="54">
        <f t="shared" si="10"/>
        <v>5</v>
      </c>
      <c r="N31" s="29"/>
    </row>
    <row r="32" spans="1:14" ht="15" thickBot="1" x14ac:dyDescent="0.35">
      <c r="A32" s="2" t="s">
        <v>3</v>
      </c>
      <c r="B32" s="21">
        <f>MIN(B7,B11,B15)</f>
        <v>4</v>
      </c>
      <c r="C32" s="22">
        <f t="shared" si="1"/>
        <v>3.6666666666666665</v>
      </c>
      <c r="D32" s="23">
        <f t="shared" si="2"/>
        <v>3</v>
      </c>
      <c r="E32" s="21">
        <f>MIN(E7,E11,E15)</f>
        <v>5</v>
      </c>
      <c r="F32" s="22">
        <f t="shared" si="4"/>
        <v>4</v>
      </c>
      <c r="G32" s="23">
        <v>2</v>
      </c>
      <c r="H32" s="21">
        <f>MIN(H7,H11,H15)</f>
        <v>2</v>
      </c>
      <c r="I32" s="22">
        <f t="shared" si="6"/>
        <v>3.3333333333333335</v>
      </c>
      <c r="J32" s="23">
        <f t="shared" si="7"/>
        <v>5</v>
      </c>
      <c r="K32" s="21">
        <f>MIN(K7,K11,K15)</f>
        <v>3</v>
      </c>
      <c r="L32" s="22">
        <f t="shared" si="9"/>
        <v>4</v>
      </c>
      <c r="M32" s="55">
        <f t="shared" si="10"/>
        <v>6</v>
      </c>
      <c r="N32" s="29"/>
    </row>
    <row r="33" spans="1:14" ht="15" thickBot="1" x14ac:dyDescent="0.35">
      <c r="A33" s="38"/>
      <c r="B33" s="26" t="s">
        <v>21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9"/>
    </row>
    <row r="34" spans="1:14" ht="15" thickBot="1" x14ac:dyDescent="0.35">
      <c r="A34" s="39"/>
      <c r="B34" s="26" t="s">
        <v>7</v>
      </c>
      <c r="C34" s="27"/>
      <c r="D34" s="31"/>
      <c r="E34" s="26" t="s">
        <v>8</v>
      </c>
      <c r="F34" s="27"/>
      <c r="G34" s="31"/>
      <c r="H34" s="26" t="s">
        <v>9</v>
      </c>
      <c r="I34" s="27"/>
      <c r="J34" s="31"/>
      <c r="K34" s="26" t="s">
        <v>10</v>
      </c>
      <c r="L34" s="27"/>
      <c r="M34" s="27"/>
      <c r="N34" s="29"/>
    </row>
    <row r="35" spans="1:14" ht="15" thickBot="1" x14ac:dyDescent="0.35">
      <c r="A35" s="40"/>
      <c r="B35" s="11" t="s">
        <v>4</v>
      </c>
      <c r="C35" s="11" t="s">
        <v>5</v>
      </c>
      <c r="D35" s="11" t="s">
        <v>6</v>
      </c>
      <c r="E35" s="11" t="s">
        <v>4</v>
      </c>
      <c r="F35" s="11" t="s">
        <v>5</v>
      </c>
      <c r="G35" s="11" t="s">
        <v>6</v>
      </c>
      <c r="H35" s="11" t="s">
        <v>4</v>
      </c>
      <c r="I35" s="11" t="s">
        <v>5</v>
      </c>
      <c r="J35" s="11" t="s">
        <v>6</v>
      </c>
      <c r="K35" s="11" t="s">
        <v>4</v>
      </c>
      <c r="L35" s="11" t="s">
        <v>5</v>
      </c>
      <c r="M35" s="4" t="s">
        <v>6</v>
      </c>
      <c r="N35" s="29"/>
    </row>
    <row r="36" spans="1:14" ht="15" thickBot="1" x14ac:dyDescent="0.35">
      <c r="A36" s="2" t="s">
        <v>0</v>
      </c>
      <c r="B36" s="16">
        <f>B29/SQRT(SUMSQ(B$29:B$32))</f>
        <v>0.58834840541455213</v>
      </c>
      <c r="C36" s="16">
        <f t="shared" ref="C36:M36" si="11">C29/SQRT(SUMSQ(C$29:C$32))</f>
        <v>0.59504640264448139</v>
      </c>
      <c r="D36" s="16">
        <f t="shared" si="11"/>
        <v>0.56568542494923801</v>
      </c>
      <c r="E36" s="16">
        <f t="shared" si="11"/>
        <v>0.59408852578600457</v>
      </c>
      <c r="F36" s="16">
        <f t="shared" si="11"/>
        <v>0.62757163244218894</v>
      </c>
      <c r="G36" s="16">
        <f t="shared" si="11"/>
        <v>0.63245553203367588</v>
      </c>
      <c r="H36" s="16">
        <f t="shared" si="11"/>
        <v>0.77151674981045948</v>
      </c>
      <c r="I36" s="16">
        <f t="shared" si="11"/>
        <v>0.71749600333417518</v>
      </c>
      <c r="J36" s="16">
        <f t="shared" si="11"/>
        <v>0.69644090928072311</v>
      </c>
      <c r="K36" s="16">
        <f t="shared" si="11"/>
        <v>0.64888568452305018</v>
      </c>
      <c r="L36" s="16">
        <f t="shared" si="11"/>
        <v>0.63311308431527991</v>
      </c>
      <c r="M36" s="25">
        <f t="shared" si="11"/>
        <v>0.57932412202165751</v>
      </c>
      <c r="N36" s="29"/>
    </row>
    <row r="37" spans="1:14" ht="15" thickBot="1" x14ac:dyDescent="0.35">
      <c r="A37" s="2" t="s">
        <v>1</v>
      </c>
      <c r="B37" s="16">
        <f t="shared" ref="B37:M39" si="12">B30/SQRT(SUMSQ(B$29:B$32))</f>
        <v>0.58834840541455213</v>
      </c>
      <c r="C37" s="16">
        <f t="shared" si="12"/>
        <v>0.55785600247920131</v>
      </c>
      <c r="D37" s="16">
        <f t="shared" si="12"/>
        <v>0.56568542494923801</v>
      </c>
      <c r="E37" s="16">
        <f t="shared" si="12"/>
        <v>0.4950737714883372</v>
      </c>
      <c r="F37" s="16">
        <f t="shared" si="12"/>
        <v>0.50990195135927852</v>
      </c>
      <c r="G37" s="16">
        <f t="shared" si="12"/>
        <v>0.63245553203367588</v>
      </c>
      <c r="H37" s="16">
        <f t="shared" si="12"/>
        <v>0.46291004988627571</v>
      </c>
      <c r="I37" s="16">
        <f t="shared" si="12"/>
        <v>0.50224720233392262</v>
      </c>
      <c r="J37" s="16">
        <f t="shared" si="12"/>
        <v>0.46429393952048209</v>
      </c>
      <c r="K37" s="16">
        <f t="shared" si="12"/>
        <v>0.48666426339228763</v>
      </c>
      <c r="L37" s="16">
        <f t="shared" si="12"/>
        <v>0.44690335363431516</v>
      </c>
      <c r="M37" s="25">
        <f t="shared" si="12"/>
        <v>0.49656353316142077</v>
      </c>
      <c r="N37" s="29"/>
    </row>
    <row r="38" spans="1:14" ht="15" thickBot="1" x14ac:dyDescent="0.35">
      <c r="A38" s="2" t="s">
        <v>2</v>
      </c>
      <c r="B38" s="16">
        <f t="shared" si="12"/>
        <v>0.39223227027636809</v>
      </c>
      <c r="C38" s="16">
        <f t="shared" si="12"/>
        <v>0.40909440181808093</v>
      </c>
      <c r="D38" s="16">
        <f t="shared" si="12"/>
        <v>0.42426406871192851</v>
      </c>
      <c r="E38" s="16">
        <f t="shared" si="12"/>
        <v>0.39605901719066977</v>
      </c>
      <c r="F38" s="16">
        <f t="shared" si="12"/>
        <v>0.35300904324873128</v>
      </c>
      <c r="G38" s="16">
        <f t="shared" si="12"/>
        <v>0.31622776601683794</v>
      </c>
      <c r="H38" s="16">
        <f t="shared" si="12"/>
        <v>0.30860669992418382</v>
      </c>
      <c r="I38" s="16">
        <f t="shared" si="12"/>
        <v>0.32287320150037885</v>
      </c>
      <c r="J38" s="16">
        <f t="shared" si="12"/>
        <v>0.38691161626706844</v>
      </c>
      <c r="K38" s="16">
        <f t="shared" si="12"/>
        <v>0.32444284226152509</v>
      </c>
      <c r="L38" s="16">
        <f t="shared" si="12"/>
        <v>0.44690335363431516</v>
      </c>
      <c r="M38" s="25">
        <f t="shared" si="12"/>
        <v>0.41380294430118397</v>
      </c>
      <c r="N38" s="29"/>
    </row>
    <row r="39" spans="1:14" ht="15" thickBot="1" x14ac:dyDescent="0.35">
      <c r="A39" s="2" t="s">
        <v>3</v>
      </c>
      <c r="B39" s="24">
        <f t="shared" si="12"/>
        <v>0.39223227027636809</v>
      </c>
      <c r="C39" s="24">
        <f t="shared" si="12"/>
        <v>0.40909440181808093</v>
      </c>
      <c r="D39" s="24">
        <f t="shared" si="12"/>
        <v>0.42426406871192851</v>
      </c>
      <c r="E39" s="24">
        <f t="shared" si="12"/>
        <v>0.4950737714883372</v>
      </c>
      <c r="F39" s="24">
        <f t="shared" si="12"/>
        <v>0.47067872433164176</v>
      </c>
      <c r="G39" s="24">
        <f t="shared" si="12"/>
        <v>0.31622776601683794</v>
      </c>
      <c r="H39" s="24">
        <f t="shared" si="12"/>
        <v>0.30860669992418382</v>
      </c>
      <c r="I39" s="24">
        <f t="shared" si="12"/>
        <v>0.35874800166708759</v>
      </c>
      <c r="J39" s="24">
        <f t="shared" si="12"/>
        <v>0.38691161626706844</v>
      </c>
      <c r="K39" s="24">
        <f t="shared" si="12"/>
        <v>0.48666426339228763</v>
      </c>
      <c r="L39" s="24">
        <f t="shared" si="12"/>
        <v>0.44690335363431516</v>
      </c>
      <c r="M39" s="2">
        <f t="shared" si="12"/>
        <v>0.49656353316142077</v>
      </c>
      <c r="N39" s="29"/>
    </row>
    <row r="40" spans="1:14" ht="15" thickBot="1" x14ac:dyDescent="0.35">
      <c r="A40" s="38"/>
      <c r="B40" s="26" t="s">
        <v>22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9"/>
    </row>
    <row r="41" spans="1:14" ht="15" thickBot="1" x14ac:dyDescent="0.35">
      <c r="A41" s="39"/>
      <c r="B41" s="26" t="s">
        <v>7</v>
      </c>
      <c r="C41" s="27"/>
      <c r="D41" s="31"/>
      <c r="E41" s="26" t="s">
        <v>8</v>
      </c>
      <c r="F41" s="27"/>
      <c r="G41" s="31"/>
      <c r="H41" s="26" t="s">
        <v>9</v>
      </c>
      <c r="I41" s="27"/>
      <c r="J41" s="31"/>
      <c r="K41" s="26" t="s">
        <v>10</v>
      </c>
      <c r="L41" s="27"/>
      <c r="M41" s="27"/>
      <c r="N41" s="29"/>
    </row>
    <row r="42" spans="1:14" ht="15" thickBot="1" x14ac:dyDescent="0.35">
      <c r="A42" s="40"/>
      <c r="B42" s="11" t="s">
        <v>4</v>
      </c>
      <c r="C42" s="11" t="s">
        <v>5</v>
      </c>
      <c r="D42" s="11" t="s">
        <v>6</v>
      </c>
      <c r="E42" s="11" t="s">
        <v>4</v>
      </c>
      <c r="F42" s="11" t="s">
        <v>5</v>
      </c>
      <c r="G42" s="11" t="s">
        <v>6</v>
      </c>
      <c r="H42" s="11" t="s">
        <v>4</v>
      </c>
      <c r="I42" s="11" t="s">
        <v>5</v>
      </c>
      <c r="J42" s="11" t="s">
        <v>6</v>
      </c>
      <c r="K42" s="11" t="s">
        <v>4</v>
      </c>
      <c r="L42" s="11" t="s">
        <v>5</v>
      </c>
      <c r="M42" s="4" t="s">
        <v>6</v>
      </c>
      <c r="N42" s="29"/>
    </row>
    <row r="43" spans="1:14" ht="15" thickBot="1" x14ac:dyDescent="0.35">
      <c r="A43" s="2" t="s">
        <v>0</v>
      </c>
      <c r="B43" s="16">
        <f>B36*$B$21</f>
        <v>3.530090432487313</v>
      </c>
      <c r="C43" s="16">
        <f t="shared" ref="C43:D43" si="13">C36*$B$21</f>
        <v>3.5702784158668885</v>
      </c>
      <c r="D43" s="16">
        <f t="shared" si="13"/>
        <v>3.3941125496954281</v>
      </c>
      <c r="E43" s="16">
        <f>E36*$B$22</f>
        <v>2.3763541031440183</v>
      </c>
      <c r="F43" s="16">
        <f t="shared" ref="F43:G43" si="14">F36*$B$22</f>
        <v>2.5102865297687558</v>
      </c>
      <c r="G43" s="16">
        <f t="shared" si="14"/>
        <v>2.5298221281347035</v>
      </c>
      <c r="H43" s="16">
        <f>H36*$B$23</f>
        <v>5.4006172486732167</v>
      </c>
      <c r="I43" s="16">
        <f t="shared" ref="I43:J43" si="15">I36*$B$23</f>
        <v>5.0224720233392262</v>
      </c>
      <c r="J43" s="16">
        <f t="shared" si="15"/>
        <v>4.8750863649650622</v>
      </c>
      <c r="K43" s="16">
        <f>K36*$B$24</f>
        <v>3.2444284226152509</v>
      </c>
      <c r="L43" s="16">
        <f t="shared" ref="L43:M43" si="16">L36*$B$24</f>
        <v>3.1655654215763995</v>
      </c>
      <c r="M43" s="25">
        <f t="shared" si="16"/>
        <v>2.8966206101082874</v>
      </c>
      <c r="N43" s="29"/>
    </row>
    <row r="44" spans="1:14" ht="15" thickBot="1" x14ac:dyDescent="0.35">
      <c r="A44" s="2" t="s">
        <v>1</v>
      </c>
      <c r="B44" s="16">
        <f t="shared" ref="B44:D44" si="17">B37*$B$21</f>
        <v>3.530090432487313</v>
      </c>
      <c r="C44" s="16">
        <f t="shared" si="17"/>
        <v>3.3471360148752076</v>
      </c>
      <c r="D44" s="16">
        <f t="shared" si="17"/>
        <v>3.3941125496954281</v>
      </c>
      <c r="E44" s="16">
        <f t="shared" ref="E44:G44" si="18">E37*$B$22</f>
        <v>1.9802950859533488</v>
      </c>
      <c r="F44" s="16">
        <f t="shared" si="18"/>
        <v>2.0396078054371141</v>
      </c>
      <c r="G44" s="16">
        <f t="shared" si="18"/>
        <v>2.5298221281347035</v>
      </c>
      <c r="H44" s="16">
        <f t="shared" ref="H44:J44" si="19">H37*$B$23</f>
        <v>3.2403703492039302</v>
      </c>
      <c r="I44" s="16">
        <f t="shared" si="19"/>
        <v>3.5157304163374583</v>
      </c>
      <c r="J44" s="16">
        <f t="shared" si="19"/>
        <v>3.2500575766433748</v>
      </c>
      <c r="K44" s="16">
        <f t="shared" ref="K44:M44" si="20">K37*$B$24</f>
        <v>2.4333213169614383</v>
      </c>
      <c r="L44" s="16">
        <f t="shared" si="20"/>
        <v>2.2345167681715759</v>
      </c>
      <c r="M44" s="25">
        <f t="shared" si="20"/>
        <v>2.4828176658071039</v>
      </c>
      <c r="N44" s="29"/>
    </row>
    <row r="45" spans="1:14" ht="15" thickBot="1" x14ac:dyDescent="0.35">
      <c r="A45" s="2" t="s">
        <v>2</v>
      </c>
      <c r="B45" s="16">
        <f t="shared" ref="B45:D45" si="21">B38*$B$21</f>
        <v>2.3533936216582085</v>
      </c>
      <c r="C45" s="16">
        <f t="shared" si="21"/>
        <v>2.4545664109084857</v>
      </c>
      <c r="D45" s="16">
        <f t="shared" si="21"/>
        <v>2.545584412271571</v>
      </c>
      <c r="E45" s="16">
        <f t="shared" ref="E45:G45" si="22">E38*$B$22</f>
        <v>1.5842360687626791</v>
      </c>
      <c r="F45" s="16">
        <f t="shared" si="22"/>
        <v>1.4120361729949251</v>
      </c>
      <c r="G45" s="16">
        <f t="shared" si="22"/>
        <v>1.2649110640673518</v>
      </c>
      <c r="H45" s="16">
        <f t="shared" ref="H45:J45" si="23">H38*$B$23</f>
        <v>2.1602468994692869</v>
      </c>
      <c r="I45" s="16">
        <f t="shared" si="23"/>
        <v>2.2601124105026518</v>
      </c>
      <c r="J45" s="16">
        <f t="shared" si="23"/>
        <v>2.708381313869479</v>
      </c>
      <c r="K45" s="16">
        <f t="shared" ref="K45:M45" si="24">K38*$B$24</f>
        <v>1.6222142113076254</v>
      </c>
      <c r="L45" s="16">
        <f t="shared" si="24"/>
        <v>2.2345167681715759</v>
      </c>
      <c r="M45" s="25">
        <f t="shared" si="24"/>
        <v>2.06901472150592</v>
      </c>
      <c r="N45" s="29"/>
    </row>
    <row r="46" spans="1:14" ht="15" thickBot="1" x14ac:dyDescent="0.35">
      <c r="A46" s="2" t="s">
        <v>3</v>
      </c>
      <c r="B46" s="24">
        <f t="shared" ref="B46:D46" si="25">B39*$B$21</f>
        <v>2.3533936216582085</v>
      </c>
      <c r="C46" s="24">
        <f t="shared" si="25"/>
        <v>2.4545664109084857</v>
      </c>
      <c r="D46" s="24">
        <f t="shared" si="25"/>
        <v>2.545584412271571</v>
      </c>
      <c r="E46" s="24">
        <f t="shared" ref="E46:G46" si="26">E39*$B$22</f>
        <v>1.9802950859533488</v>
      </c>
      <c r="F46" s="24">
        <f t="shared" si="26"/>
        <v>1.882714897326567</v>
      </c>
      <c r="G46" s="24">
        <f t="shared" si="26"/>
        <v>1.2649110640673518</v>
      </c>
      <c r="H46" s="24">
        <f t="shared" ref="H46:J46" si="27">H39*$B$23</f>
        <v>2.1602468994692869</v>
      </c>
      <c r="I46" s="24">
        <f t="shared" si="27"/>
        <v>2.5112360116696131</v>
      </c>
      <c r="J46" s="24">
        <f t="shared" si="27"/>
        <v>2.708381313869479</v>
      </c>
      <c r="K46" s="24">
        <f t="shared" ref="K46:M46" si="28">K39*$B$24</f>
        <v>2.4333213169614383</v>
      </c>
      <c r="L46" s="24">
        <f t="shared" si="28"/>
        <v>2.2345167681715759</v>
      </c>
      <c r="M46" s="2">
        <f t="shared" si="28"/>
        <v>2.4828176658071039</v>
      </c>
      <c r="N46" s="29"/>
    </row>
    <row r="47" spans="1:14" x14ac:dyDescent="0.3">
      <c r="A47" s="38" t="s">
        <v>23</v>
      </c>
      <c r="B47" s="4">
        <f>MAX(B43,E43,H43,K43)</f>
        <v>5.4006172486732167</v>
      </c>
      <c r="C47" s="13">
        <f t="shared" ref="C47:D50" si="29">MAX(C43,F43,I43,L43)</f>
        <v>5.0224720233392262</v>
      </c>
      <c r="D47" s="14">
        <f t="shared" si="29"/>
        <v>4.8750863649650622</v>
      </c>
      <c r="N47" s="29"/>
    </row>
    <row r="48" spans="1:14" x14ac:dyDescent="0.3">
      <c r="A48" s="39"/>
      <c r="B48" s="5">
        <f t="shared" ref="B48:B50" si="30">MAX(B44,E44,H44,K44)</f>
        <v>3.530090432487313</v>
      </c>
      <c r="C48" s="1">
        <f t="shared" si="29"/>
        <v>3.5157304163374583</v>
      </c>
      <c r="D48" s="6">
        <f t="shared" si="29"/>
        <v>3.3941125496954281</v>
      </c>
      <c r="N48" s="29"/>
    </row>
    <row r="49" spans="1:14" x14ac:dyDescent="0.3">
      <c r="A49" s="39"/>
      <c r="B49" s="5">
        <f t="shared" si="30"/>
        <v>2.3533936216582085</v>
      </c>
      <c r="C49" s="1">
        <f t="shared" si="29"/>
        <v>2.4545664109084857</v>
      </c>
      <c r="D49" s="6">
        <f t="shared" si="29"/>
        <v>2.708381313869479</v>
      </c>
      <c r="N49" s="29"/>
    </row>
    <row r="50" spans="1:14" ht="15" thickBot="1" x14ac:dyDescent="0.35">
      <c r="A50" s="39"/>
      <c r="B50" s="5">
        <f t="shared" si="30"/>
        <v>2.4333213169614383</v>
      </c>
      <c r="C50" s="1">
        <f t="shared" si="29"/>
        <v>2.5112360116696131</v>
      </c>
      <c r="D50" s="6">
        <f t="shared" si="29"/>
        <v>2.708381313869479</v>
      </c>
      <c r="N50" s="29"/>
    </row>
    <row r="51" spans="1:14" x14ac:dyDescent="0.3">
      <c r="A51" s="41" t="s">
        <v>24</v>
      </c>
      <c r="B51" s="4">
        <f>MIN(B43,E43,H43,K43)</f>
        <v>2.3763541031440183</v>
      </c>
      <c r="C51" s="13">
        <f t="shared" ref="C51:D51" si="31">MIN(C43,F43,I43,L43)</f>
        <v>2.5102865297687558</v>
      </c>
      <c r="D51" s="14">
        <f t="shared" si="31"/>
        <v>2.5298221281347035</v>
      </c>
      <c r="N51" s="29"/>
    </row>
    <row r="52" spans="1:14" x14ac:dyDescent="0.3">
      <c r="A52" s="43"/>
      <c r="B52" s="5">
        <f t="shared" ref="B52:B54" si="32">MIN(B44,E44,H44,K44)</f>
        <v>1.9802950859533488</v>
      </c>
      <c r="C52" s="1">
        <f t="shared" ref="C52:C54" si="33">MIN(C44,F44,I44,L44)</f>
        <v>2.0396078054371141</v>
      </c>
      <c r="D52" s="6">
        <f t="shared" ref="D52:D54" si="34">MIN(D44,G44,J44,M44)</f>
        <v>2.4828176658071039</v>
      </c>
      <c r="N52" s="29"/>
    </row>
    <row r="53" spans="1:14" x14ac:dyDescent="0.3">
      <c r="A53" s="43"/>
      <c r="B53" s="5">
        <f t="shared" si="32"/>
        <v>1.5842360687626791</v>
      </c>
      <c r="C53" s="1">
        <f t="shared" si="33"/>
        <v>1.4120361729949251</v>
      </c>
      <c r="D53" s="6">
        <f t="shared" si="34"/>
        <v>1.2649110640673518</v>
      </c>
      <c r="N53" s="29"/>
    </row>
    <row r="54" spans="1:14" ht="15" thickBot="1" x14ac:dyDescent="0.35">
      <c r="A54" s="45"/>
      <c r="B54" s="7">
        <f t="shared" si="32"/>
        <v>1.9802950859533488</v>
      </c>
      <c r="C54" s="8">
        <f t="shared" si="33"/>
        <v>1.882714897326567</v>
      </c>
      <c r="D54" s="9">
        <f t="shared" si="34"/>
        <v>1.2649110640673518</v>
      </c>
      <c r="N54" s="29"/>
    </row>
    <row r="55" spans="1:14" ht="15" thickBot="1" x14ac:dyDescent="0.35">
      <c r="A55" s="38" t="s">
        <v>25</v>
      </c>
      <c r="B55" s="47">
        <f>1/SQRT(SUMSQ((B43-B47), (C43-C47), (D43-D47))/3)</f>
        <v>0.62013311577096641</v>
      </c>
      <c r="C55" s="48"/>
      <c r="D55" s="51"/>
      <c r="E55" s="47">
        <f>1/SQRT(SUMSQ((E43-E47), (F43-F47), (G43-G47))/3)</f>
        <v>0.40435162512647854</v>
      </c>
      <c r="F55" s="48"/>
      <c r="G55" s="51"/>
      <c r="H55" s="47">
        <f t="shared" ref="H55" si="35">SQRT(SUMSQ((H43-H47), (I43-I47), (J43-J47))/3)</f>
        <v>5.104193013518727</v>
      </c>
      <c r="I55" s="48"/>
      <c r="J55" s="51"/>
      <c r="K55" s="47">
        <f t="shared" ref="K55" si="36">SQRT(SUMSQ((K43-K47), (L43-L47), (M43-M47))/3)</f>
        <v>3.1057758658483365</v>
      </c>
      <c r="L55" s="48"/>
      <c r="M55" s="48"/>
      <c r="N55" s="29"/>
    </row>
    <row r="56" spans="1:14" ht="15" thickBot="1" x14ac:dyDescent="0.35">
      <c r="A56" s="39"/>
      <c r="B56" s="47">
        <f t="shared" ref="B56:B58" si="37">1/SQRT(SUMSQ((B44-B48), (C44-C48), (D44-D48))/3)</f>
        <v>10.273477603920876</v>
      </c>
      <c r="C56" s="48"/>
      <c r="D56" s="51"/>
      <c r="E56" s="47">
        <f t="shared" ref="E56:E58" si="38">1/SQRT(SUMSQ((E44-E48), (F44-F48), (G44-G48))/3)</f>
        <v>0.45514819419925451</v>
      </c>
      <c r="F56" s="48"/>
      <c r="G56" s="51"/>
      <c r="H56" s="47">
        <f t="shared" ref="H56:H58" si="39">SQRT(SUMSQ((H44-H48), (I44-I48), (J44-J48))/3)</f>
        <v>3.3378253704998491</v>
      </c>
      <c r="I56" s="48"/>
      <c r="J56" s="51"/>
      <c r="K56" s="47">
        <f t="shared" ref="K56:K58" si="40">SQRT(SUMSQ((K44-K48), (L44-L48), (M44-M48))/3)</f>
        <v>2.3859660084518337</v>
      </c>
      <c r="L56" s="48"/>
      <c r="M56" s="48"/>
      <c r="N56" s="29"/>
    </row>
    <row r="57" spans="1:14" ht="15" thickBot="1" x14ac:dyDescent="0.35">
      <c r="A57" s="39"/>
      <c r="B57" s="47">
        <f t="shared" si="37"/>
        <v>10.63933521196164</v>
      </c>
      <c r="C57" s="48"/>
      <c r="D57" s="51"/>
      <c r="E57" s="47">
        <f t="shared" si="38"/>
        <v>0.70107715186060915</v>
      </c>
      <c r="F57" s="48"/>
      <c r="G57" s="51"/>
      <c r="H57" s="47">
        <f t="shared" si="39"/>
        <v>2.3881725311830757</v>
      </c>
      <c r="I57" s="48"/>
      <c r="J57" s="51"/>
      <c r="K57" s="47">
        <f t="shared" si="40"/>
        <v>1.9921065945724044</v>
      </c>
      <c r="L57" s="48"/>
      <c r="M57" s="48"/>
      <c r="N57" s="29"/>
    </row>
    <row r="58" spans="1:14" ht="15" thickBot="1" x14ac:dyDescent="0.35">
      <c r="A58" s="40"/>
      <c r="B58" s="47">
        <f t="shared" si="37"/>
        <v>9.1157145697031048</v>
      </c>
      <c r="C58" s="48"/>
      <c r="D58" s="51"/>
      <c r="E58" s="47">
        <f t="shared" si="38"/>
        <v>0.57523905296660938</v>
      </c>
      <c r="F58" s="48"/>
      <c r="G58" s="51"/>
      <c r="H58" s="47">
        <f t="shared" si="39"/>
        <v>2.4703779949831119</v>
      </c>
      <c r="I58" s="48"/>
      <c r="J58" s="51"/>
      <c r="K58" s="47">
        <f t="shared" si="40"/>
        <v>2.3859660084518337</v>
      </c>
      <c r="L58" s="48"/>
      <c r="M58" s="48"/>
      <c r="N58" s="29"/>
    </row>
    <row r="59" spans="1:14" ht="15" thickBot="1" x14ac:dyDescent="0.35">
      <c r="A59" s="38" t="s">
        <v>26</v>
      </c>
      <c r="B59" s="47">
        <f>1/SQRT(SUMSQ((B43-B51), (C43-C51), (D43-D51))/3)</f>
        <v>0.96799052505336391</v>
      </c>
      <c r="C59" s="48"/>
      <c r="D59" s="51"/>
      <c r="E59" s="47">
        <f>1/SQRT(SUMSQ((E43-E51), (F43-F51), (G43-G51))/3)</f>
        <v>0.40435162512647854</v>
      </c>
      <c r="F59" s="48"/>
      <c r="G59" s="51"/>
      <c r="H59" s="47">
        <f t="shared" ref="H59:H62" si="41">SQRT(SUMSQ((H43-H51), (I43-I51), (J43-J51))/3)</f>
        <v>5.104193013518727</v>
      </c>
      <c r="I59" s="48"/>
      <c r="J59" s="51"/>
      <c r="K59" s="47">
        <f t="shared" ref="K59:K62" si="42">SQRT(SUMSQ((K43-K51), (L43-L51), (M43-M51))/3)</f>
        <v>3.1057758658483365</v>
      </c>
      <c r="L59" s="48"/>
      <c r="M59" s="48"/>
      <c r="N59" s="29"/>
    </row>
    <row r="60" spans="1:14" ht="15" thickBot="1" x14ac:dyDescent="0.35">
      <c r="A60" s="39"/>
      <c r="B60" s="47">
        <f t="shared" ref="B60:B62" si="43">1/SQRT(SUMSQ((B44-B52), (C44-C52), (D44-D52))/3)</f>
        <v>0.77913242385802395</v>
      </c>
      <c r="C60" s="48"/>
      <c r="D60" s="51"/>
      <c r="E60" s="47">
        <f t="shared" ref="E60:E62" si="44">1/SQRT(SUMSQ((E44-E52), (F44-F52), (G44-G52))/3)</f>
        <v>0.45514819419925451</v>
      </c>
      <c r="F60" s="48"/>
      <c r="G60" s="51"/>
      <c r="H60" s="47">
        <f t="shared" si="41"/>
        <v>3.3378253704998491</v>
      </c>
      <c r="I60" s="48"/>
      <c r="J60" s="51"/>
      <c r="K60" s="47">
        <f t="shared" si="42"/>
        <v>2.3859660084518337</v>
      </c>
      <c r="L60" s="48"/>
      <c r="M60" s="48"/>
      <c r="N60" s="29"/>
    </row>
    <row r="61" spans="1:14" ht="15" thickBot="1" x14ac:dyDescent="0.35">
      <c r="A61" s="39"/>
      <c r="B61" s="47">
        <f t="shared" si="43"/>
        <v>0.9507873134224335</v>
      </c>
      <c r="C61" s="48"/>
      <c r="D61" s="51"/>
      <c r="E61" s="47">
        <f t="shared" si="44"/>
        <v>0.70107715186060915</v>
      </c>
      <c r="F61" s="48"/>
      <c r="G61" s="51"/>
      <c r="H61" s="47">
        <f t="shared" si="41"/>
        <v>2.3881725311830757</v>
      </c>
      <c r="I61" s="48"/>
      <c r="J61" s="51"/>
      <c r="K61" s="47">
        <f t="shared" si="42"/>
        <v>1.9921065945724044</v>
      </c>
      <c r="L61" s="48"/>
      <c r="M61" s="48"/>
      <c r="N61" s="29"/>
    </row>
    <row r="62" spans="1:14" ht="15" thickBot="1" x14ac:dyDescent="0.35">
      <c r="A62" s="40"/>
      <c r="B62" s="47">
        <f t="shared" si="43"/>
        <v>1.1934282045674218</v>
      </c>
      <c r="C62" s="48"/>
      <c r="D62" s="51"/>
      <c r="E62" s="49">
        <f t="shared" si="44"/>
        <v>0.57523905296660938</v>
      </c>
      <c r="F62" s="50"/>
      <c r="G62" s="52"/>
      <c r="H62" s="49">
        <f t="shared" si="41"/>
        <v>2.4703779949831119</v>
      </c>
      <c r="I62" s="50"/>
      <c r="J62" s="52"/>
      <c r="K62" s="49">
        <f t="shared" si="42"/>
        <v>2.3859660084518337</v>
      </c>
      <c r="L62" s="50"/>
      <c r="M62" s="50"/>
      <c r="N62" s="29"/>
    </row>
    <row r="63" spans="1:14" ht="15" thickBot="1" x14ac:dyDescent="0.35">
      <c r="A63" s="38" t="s">
        <v>27</v>
      </c>
      <c r="B63" s="26">
        <f>SUM(B55:M55)</f>
        <v>9.2344536202645084</v>
      </c>
      <c r="C63" s="27"/>
      <c r="D63" s="31"/>
      <c r="N63" s="29"/>
    </row>
    <row r="64" spans="1:14" ht="15" thickBot="1" x14ac:dyDescent="0.35">
      <c r="A64" s="39"/>
      <c r="B64" s="26">
        <f>SUM(B56:M56)</f>
        <v>16.452417177071816</v>
      </c>
      <c r="C64" s="27"/>
      <c r="D64" s="31"/>
      <c r="N64" s="29"/>
    </row>
    <row r="65" spans="1:14" ht="15" thickBot="1" x14ac:dyDescent="0.35">
      <c r="A65" s="39"/>
      <c r="B65" s="26">
        <f>SUM(B57:M57)</f>
        <v>15.720691489577728</v>
      </c>
      <c r="C65" s="27"/>
      <c r="D65" s="31"/>
      <c r="N65" s="29"/>
    </row>
    <row r="66" spans="1:14" ht="15" thickBot="1" x14ac:dyDescent="0.35">
      <c r="A66" s="40"/>
      <c r="B66" s="26">
        <f>SUM(B58:M58)</f>
        <v>14.547297626104658</v>
      </c>
      <c r="C66" s="27"/>
      <c r="D66" s="31"/>
      <c r="N66" s="29"/>
    </row>
    <row r="67" spans="1:14" ht="15" thickBot="1" x14ac:dyDescent="0.35">
      <c r="A67" s="38" t="s">
        <v>28</v>
      </c>
      <c r="B67" s="26">
        <f>SUM(B59:M59)</f>
        <v>9.5823110295469061</v>
      </c>
      <c r="C67" s="27"/>
      <c r="D67" s="31"/>
      <c r="N67" s="29"/>
    </row>
    <row r="68" spans="1:14" ht="15" thickBot="1" x14ac:dyDescent="0.35">
      <c r="A68" s="39"/>
      <c r="B68" s="26">
        <f t="shared" ref="B68:B70" si="45">SUM(B60:M60)</f>
        <v>6.9580719970089611</v>
      </c>
      <c r="C68" s="27"/>
      <c r="D68" s="31"/>
      <c r="N68" s="29"/>
    </row>
    <row r="69" spans="1:14" ht="15" thickBot="1" x14ac:dyDescent="0.35">
      <c r="A69" s="39"/>
      <c r="B69" s="26">
        <f t="shared" si="45"/>
        <v>6.0321435910385226</v>
      </c>
      <c r="C69" s="27"/>
      <c r="D69" s="31"/>
      <c r="N69" s="29"/>
    </row>
    <row r="70" spans="1:14" ht="15" thickBot="1" x14ac:dyDescent="0.35">
      <c r="A70" s="40"/>
      <c r="B70" s="26">
        <f t="shared" si="45"/>
        <v>6.6250112609689769</v>
      </c>
      <c r="C70" s="27"/>
      <c r="D70" s="31"/>
      <c r="N70" s="29"/>
    </row>
    <row r="71" spans="1:14" ht="15" thickBot="1" x14ac:dyDescent="0.35">
      <c r="A71" s="38" t="s">
        <v>29</v>
      </c>
      <c r="B71" s="26">
        <f>B67/(B63+B67)</f>
        <v>0.5092432842668807</v>
      </c>
      <c r="C71" s="27"/>
      <c r="D71" s="31"/>
      <c r="N71" s="29"/>
    </row>
    <row r="72" spans="1:14" ht="15" thickBot="1" x14ac:dyDescent="0.35">
      <c r="A72" s="39"/>
      <c r="B72" s="26">
        <f t="shared" ref="B72:B74" si="46">B68/(B64+B68)</f>
        <v>0.29722027358200953</v>
      </c>
      <c r="C72" s="27"/>
      <c r="D72" s="31"/>
      <c r="N72" s="29"/>
    </row>
    <row r="73" spans="1:14" ht="15" thickBot="1" x14ac:dyDescent="0.35">
      <c r="A73" s="39"/>
      <c r="B73" s="26">
        <f t="shared" si="46"/>
        <v>0.27730378907776071</v>
      </c>
      <c r="C73" s="27"/>
      <c r="D73" s="31"/>
      <c r="N73" s="29"/>
    </row>
    <row r="74" spans="1:14" ht="15" thickBot="1" x14ac:dyDescent="0.35">
      <c r="A74" s="40"/>
      <c r="B74" s="26">
        <f t="shared" si="46"/>
        <v>0.31290924841049134</v>
      </c>
      <c r="C74" s="27"/>
      <c r="D74" s="31"/>
      <c r="N74" s="29"/>
    </row>
    <row r="75" spans="1:14" ht="15" thickBot="1" x14ac:dyDescent="0.35">
      <c r="A75" s="38" t="s">
        <v>30</v>
      </c>
      <c r="B75" s="26">
        <f>RANK(B71,$B$71:$D$74)</f>
        <v>1</v>
      </c>
      <c r="C75" s="27"/>
      <c r="D75" s="31"/>
      <c r="N75" s="29"/>
    </row>
    <row r="76" spans="1:14" ht="15" thickBot="1" x14ac:dyDescent="0.35">
      <c r="A76" s="39"/>
      <c r="B76" s="26">
        <f t="shared" ref="B76:B78" si="47">RANK(B72,$B$71:$D$74)</f>
        <v>3</v>
      </c>
      <c r="C76" s="27"/>
      <c r="D76" s="31"/>
      <c r="N76" s="29"/>
    </row>
    <row r="77" spans="1:14" ht="15" thickBot="1" x14ac:dyDescent="0.35">
      <c r="A77" s="39"/>
      <c r="B77" s="26">
        <f t="shared" si="47"/>
        <v>4</v>
      </c>
      <c r="C77" s="27"/>
      <c r="D77" s="31"/>
      <c r="N77" s="29"/>
    </row>
    <row r="78" spans="1:14" ht="15" thickBot="1" x14ac:dyDescent="0.35">
      <c r="A78" s="40"/>
      <c r="B78" s="26">
        <f t="shared" si="47"/>
        <v>2</v>
      </c>
      <c r="C78" s="27"/>
      <c r="D78" s="31"/>
      <c r="E78" s="8"/>
      <c r="F78" s="8"/>
      <c r="G78" s="8"/>
      <c r="H78" s="8"/>
      <c r="I78" s="8"/>
      <c r="J78" s="8"/>
      <c r="K78" s="8"/>
      <c r="L78" s="8"/>
      <c r="M78" s="8"/>
      <c r="N78" s="30"/>
    </row>
    <row r="79" spans="1:14" ht="15" thickBot="1" x14ac:dyDescent="0.35"/>
    <row r="80" spans="1:14" ht="15" thickBot="1" x14ac:dyDescent="0.35">
      <c r="A80" s="26" t="s">
        <v>36</v>
      </c>
      <c r="B80" s="27"/>
      <c r="C80" s="27"/>
      <c r="D80" s="27"/>
      <c r="E80" s="27"/>
      <c r="F80" s="27"/>
      <c r="G80" s="27"/>
      <c r="H80" s="27"/>
      <c r="I80" s="27"/>
      <c r="J80" s="28" t="s">
        <v>46</v>
      </c>
    </row>
    <row r="81" spans="1:10" ht="15" thickBot="1" x14ac:dyDescent="0.35">
      <c r="A81" s="10"/>
      <c r="B81" s="10" t="s">
        <v>32</v>
      </c>
      <c r="C81" s="10" t="s">
        <v>33</v>
      </c>
      <c r="D81" s="10" t="s">
        <v>34</v>
      </c>
      <c r="E81" s="10" t="s">
        <v>35</v>
      </c>
      <c r="F81" s="10" t="s">
        <v>37</v>
      </c>
      <c r="G81" s="10" t="s">
        <v>44</v>
      </c>
      <c r="H81" s="26" t="s">
        <v>45</v>
      </c>
      <c r="I81" s="27"/>
      <c r="J81" s="29"/>
    </row>
    <row r="82" spans="1:10" ht="15" thickBot="1" x14ac:dyDescent="0.35">
      <c r="A82" s="11" t="s">
        <v>32</v>
      </c>
      <c r="B82" s="1">
        <v>1</v>
      </c>
      <c r="C82" s="1">
        <v>5</v>
      </c>
      <c r="D82" s="1">
        <f>1/B84</f>
        <v>0.33333333333333331</v>
      </c>
      <c r="E82" s="6">
        <v>3</v>
      </c>
      <c r="F82" s="10">
        <f>SUM(B82:E82)</f>
        <v>9.3333333333333321</v>
      </c>
      <c r="G82" s="10">
        <f>POWER(PRODUCT(B82:E82),1/4)</f>
        <v>1.4953487812212205</v>
      </c>
      <c r="H82" s="26">
        <f>G82/SUM(G$82:G$85)</f>
        <v>0.26590528734361885</v>
      </c>
      <c r="I82" s="27"/>
      <c r="J82" s="29"/>
    </row>
    <row r="83" spans="1:10" ht="15" thickBot="1" x14ac:dyDescent="0.35">
      <c r="A83" s="10" t="s">
        <v>33</v>
      </c>
      <c r="B83" s="1">
        <f>1/C82</f>
        <v>0.2</v>
      </c>
      <c r="C83" s="1">
        <v>1</v>
      </c>
      <c r="D83" s="1">
        <f>1/C84</f>
        <v>0.14285714285714285</v>
      </c>
      <c r="E83" s="6">
        <v>3</v>
      </c>
      <c r="F83" s="10">
        <f t="shared" ref="F83:F85" si="48">SUM(B83:E83)</f>
        <v>4.3428571428571425</v>
      </c>
      <c r="G83" s="10">
        <f t="shared" ref="G83:G85" si="49">POWER(PRODUCT(B83:E83),1/4)</f>
        <v>0.54108226905393964</v>
      </c>
      <c r="H83" s="26">
        <f t="shared" ref="H83:H85" si="50">G83/SUM(G$82:G$85)</f>
        <v>9.6216105590980608E-2</v>
      </c>
      <c r="I83" s="27"/>
      <c r="J83" s="29"/>
    </row>
    <row r="84" spans="1:10" ht="15" thickBot="1" x14ac:dyDescent="0.35">
      <c r="A84" s="10" t="s">
        <v>34</v>
      </c>
      <c r="B84" s="1">
        <v>3</v>
      </c>
      <c r="C84" s="1">
        <v>7</v>
      </c>
      <c r="D84" s="1">
        <v>1</v>
      </c>
      <c r="E84" s="6">
        <v>5</v>
      </c>
      <c r="F84" s="10">
        <f t="shared" si="48"/>
        <v>16</v>
      </c>
      <c r="G84" s="10">
        <f t="shared" si="49"/>
        <v>3.2010858729436791</v>
      </c>
      <c r="H84" s="26">
        <f t="shared" si="50"/>
        <v>0.56922215709537827</v>
      </c>
      <c r="I84" s="27"/>
      <c r="J84" s="29"/>
    </row>
    <row r="85" spans="1:10" ht="15" thickBot="1" x14ac:dyDescent="0.35">
      <c r="A85" s="12" t="s">
        <v>35</v>
      </c>
      <c r="B85" s="8">
        <f>1/E82</f>
        <v>0.33333333333333331</v>
      </c>
      <c r="C85" s="8">
        <f>1/E83</f>
        <v>0.33333333333333331</v>
      </c>
      <c r="D85" s="8">
        <f>1/E84</f>
        <v>0.2</v>
      </c>
      <c r="E85" s="9">
        <v>1</v>
      </c>
      <c r="F85" s="10">
        <f t="shared" si="48"/>
        <v>1.8666666666666667</v>
      </c>
      <c r="G85" s="10">
        <f t="shared" si="49"/>
        <v>0.3860973950960897</v>
      </c>
      <c r="H85" s="26">
        <f t="shared" si="50"/>
        <v>6.8656449970022251E-2</v>
      </c>
      <c r="I85" s="27"/>
      <c r="J85" s="29"/>
    </row>
    <row r="86" spans="1:10" x14ac:dyDescent="0.3">
      <c r="J86" s="29"/>
    </row>
    <row r="87" spans="1:10" ht="15" thickBot="1" x14ac:dyDescent="0.35">
      <c r="J87" s="29"/>
    </row>
    <row r="88" spans="1:10" ht="15" thickBot="1" x14ac:dyDescent="0.35">
      <c r="A88" s="2"/>
      <c r="B88" s="3"/>
      <c r="C88" s="10" t="s">
        <v>0</v>
      </c>
      <c r="D88" s="10" t="s">
        <v>38</v>
      </c>
      <c r="E88" s="10" t="s">
        <v>39</v>
      </c>
      <c r="F88" s="10" t="s">
        <v>40</v>
      </c>
      <c r="G88" s="10" t="s">
        <v>37</v>
      </c>
      <c r="H88" s="41" t="s">
        <v>11</v>
      </c>
      <c r="I88" s="42"/>
      <c r="J88" s="29"/>
    </row>
    <row r="89" spans="1:10" ht="15" thickBot="1" x14ac:dyDescent="0.35">
      <c r="A89" s="38" t="s">
        <v>15</v>
      </c>
      <c r="B89" s="10" t="s">
        <v>0</v>
      </c>
      <c r="C89" s="4">
        <v>1</v>
      </c>
      <c r="D89" s="13">
        <f>1/C90</f>
        <v>0.33333333333333331</v>
      </c>
      <c r="E89" s="13">
        <f>1/C91</f>
        <v>0.2</v>
      </c>
      <c r="F89" s="13">
        <f>1/C92</f>
        <v>0.2</v>
      </c>
      <c r="G89" s="11">
        <f>SUM(C89:F89)</f>
        <v>1.7333333333333332</v>
      </c>
      <c r="H89" s="43"/>
      <c r="I89" s="44"/>
      <c r="J89" s="29"/>
    </row>
    <row r="90" spans="1:10" ht="15" thickBot="1" x14ac:dyDescent="0.35">
      <c r="A90" s="39"/>
      <c r="B90" s="10" t="s">
        <v>38</v>
      </c>
      <c r="C90" s="5">
        <v>3</v>
      </c>
      <c r="D90" s="1">
        <v>1</v>
      </c>
      <c r="E90" s="1">
        <v>3</v>
      </c>
      <c r="F90" s="1">
        <v>1</v>
      </c>
      <c r="G90" s="11">
        <f t="shared" ref="G90:G104" si="51">SUM(C90:F90)</f>
        <v>8</v>
      </c>
      <c r="H90" s="43"/>
      <c r="I90" s="44"/>
      <c r="J90" s="29"/>
    </row>
    <row r="91" spans="1:10" ht="15" thickBot="1" x14ac:dyDescent="0.35">
      <c r="A91" s="39"/>
      <c r="B91" s="10" t="s">
        <v>39</v>
      </c>
      <c r="C91" s="5">
        <v>5</v>
      </c>
      <c r="D91" s="1">
        <f>1/E90</f>
        <v>0.33333333333333331</v>
      </c>
      <c r="E91" s="1">
        <v>1</v>
      </c>
      <c r="F91" s="1">
        <v>1</v>
      </c>
      <c r="G91" s="11">
        <f t="shared" si="51"/>
        <v>7.333333333333333</v>
      </c>
      <c r="H91" s="43"/>
      <c r="I91" s="44"/>
      <c r="J91" s="29"/>
    </row>
    <row r="92" spans="1:10" ht="15" thickBot="1" x14ac:dyDescent="0.35">
      <c r="A92" s="40"/>
      <c r="B92" s="10" t="s">
        <v>40</v>
      </c>
      <c r="C92" s="7">
        <v>5</v>
      </c>
      <c r="D92" s="8">
        <f>1/F90</f>
        <v>1</v>
      </c>
      <c r="E92" s="8">
        <f>1/F91</f>
        <v>1</v>
      </c>
      <c r="F92" s="8">
        <v>1</v>
      </c>
      <c r="G92" s="11">
        <f t="shared" si="51"/>
        <v>8</v>
      </c>
      <c r="H92" s="43"/>
      <c r="I92" s="44"/>
      <c r="J92" s="29"/>
    </row>
    <row r="93" spans="1:10" ht="15" thickBot="1" x14ac:dyDescent="0.35">
      <c r="A93" s="38" t="s">
        <v>16</v>
      </c>
      <c r="B93" s="10" t="s">
        <v>0</v>
      </c>
      <c r="C93" s="4">
        <v>1</v>
      </c>
      <c r="D93" s="13">
        <f>1/C94</f>
        <v>0.33333333333333331</v>
      </c>
      <c r="E93" s="13">
        <f>1/C95</f>
        <v>0.33333333333333331</v>
      </c>
      <c r="F93" s="13">
        <f>1/C96</f>
        <v>0.2</v>
      </c>
      <c r="G93" s="11">
        <f t="shared" si="51"/>
        <v>1.8666666666666665</v>
      </c>
      <c r="H93" s="43"/>
      <c r="I93" s="44"/>
      <c r="J93" s="29"/>
    </row>
    <row r="94" spans="1:10" ht="15" thickBot="1" x14ac:dyDescent="0.35">
      <c r="A94" s="39"/>
      <c r="B94" s="10" t="s">
        <v>38</v>
      </c>
      <c r="C94" s="5">
        <v>3</v>
      </c>
      <c r="D94" s="1">
        <v>1</v>
      </c>
      <c r="E94" s="1">
        <f>1/D95</f>
        <v>1</v>
      </c>
      <c r="F94" s="1">
        <f>1/D96</f>
        <v>0.33333333333333331</v>
      </c>
      <c r="G94" s="11">
        <f t="shared" si="51"/>
        <v>5.333333333333333</v>
      </c>
      <c r="H94" s="43"/>
      <c r="I94" s="44"/>
      <c r="J94" s="29"/>
    </row>
    <row r="95" spans="1:10" ht="15" thickBot="1" x14ac:dyDescent="0.35">
      <c r="A95" s="39"/>
      <c r="B95" s="10" t="s">
        <v>39</v>
      </c>
      <c r="C95" s="5">
        <v>3</v>
      </c>
      <c r="D95" s="1">
        <v>1</v>
      </c>
      <c r="E95" s="1">
        <v>1</v>
      </c>
      <c r="F95" s="1">
        <f>1/E96</f>
        <v>0.33333333333333331</v>
      </c>
      <c r="G95" s="11">
        <f t="shared" si="51"/>
        <v>5.333333333333333</v>
      </c>
      <c r="H95" s="43"/>
      <c r="I95" s="44"/>
      <c r="J95" s="29"/>
    </row>
    <row r="96" spans="1:10" ht="15" thickBot="1" x14ac:dyDescent="0.35">
      <c r="A96" s="40"/>
      <c r="B96" s="10" t="s">
        <v>40</v>
      </c>
      <c r="C96" s="7">
        <v>5</v>
      </c>
      <c r="D96" s="8">
        <v>3</v>
      </c>
      <c r="E96" s="8">
        <v>3</v>
      </c>
      <c r="F96" s="8">
        <v>1</v>
      </c>
      <c r="G96" s="11">
        <f t="shared" si="51"/>
        <v>12</v>
      </c>
      <c r="H96" s="43"/>
      <c r="I96" s="44"/>
      <c r="J96" s="29"/>
    </row>
    <row r="97" spans="1:10" ht="15" thickBot="1" x14ac:dyDescent="0.35">
      <c r="A97" s="38" t="s">
        <v>17</v>
      </c>
      <c r="B97" s="10" t="s">
        <v>0</v>
      </c>
      <c r="C97" s="4">
        <v>1</v>
      </c>
      <c r="D97" s="13">
        <v>3</v>
      </c>
      <c r="E97" s="13">
        <v>5</v>
      </c>
      <c r="F97" s="13">
        <v>7</v>
      </c>
      <c r="G97" s="11">
        <f t="shared" si="51"/>
        <v>16</v>
      </c>
      <c r="H97" s="43"/>
      <c r="I97" s="44"/>
      <c r="J97" s="29"/>
    </row>
    <row r="98" spans="1:10" ht="15" thickBot="1" x14ac:dyDescent="0.35">
      <c r="A98" s="39"/>
      <c r="B98" s="10" t="s">
        <v>38</v>
      </c>
      <c r="C98" s="5">
        <f>1/D97</f>
        <v>0.33333333333333331</v>
      </c>
      <c r="D98" s="1">
        <v>1</v>
      </c>
      <c r="E98" s="1">
        <v>5</v>
      </c>
      <c r="F98" s="1">
        <v>3</v>
      </c>
      <c r="G98" s="11">
        <f t="shared" si="51"/>
        <v>9.3333333333333321</v>
      </c>
      <c r="H98" s="43"/>
      <c r="I98" s="44"/>
      <c r="J98" s="29"/>
    </row>
    <row r="99" spans="1:10" ht="15" thickBot="1" x14ac:dyDescent="0.35">
      <c r="A99" s="39"/>
      <c r="B99" s="10" t="s">
        <v>39</v>
      </c>
      <c r="C99" s="5">
        <f>1/E97</f>
        <v>0.2</v>
      </c>
      <c r="D99" s="1">
        <f>1/E98</f>
        <v>0.2</v>
      </c>
      <c r="E99" s="1">
        <v>1</v>
      </c>
      <c r="F99" s="1">
        <v>3</v>
      </c>
      <c r="G99" s="11">
        <f t="shared" si="51"/>
        <v>4.4000000000000004</v>
      </c>
      <c r="H99" s="43"/>
      <c r="I99" s="44"/>
      <c r="J99" s="29"/>
    </row>
    <row r="100" spans="1:10" ht="15" thickBot="1" x14ac:dyDescent="0.35">
      <c r="A100" s="40"/>
      <c r="B100" s="10" t="s">
        <v>40</v>
      </c>
      <c r="C100" s="7">
        <f>1/F97</f>
        <v>0.14285714285714285</v>
      </c>
      <c r="D100" s="8">
        <f>1/F98</f>
        <v>0.33333333333333331</v>
      </c>
      <c r="E100" s="8">
        <f>1/F99</f>
        <v>0.33333333333333331</v>
      </c>
      <c r="F100" s="8">
        <v>1</v>
      </c>
      <c r="G100" s="11">
        <f t="shared" si="51"/>
        <v>1.8095238095238095</v>
      </c>
      <c r="H100" s="43"/>
      <c r="I100" s="44"/>
      <c r="J100" s="29"/>
    </row>
    <row r="101" spans="1:10" ht="15" thickBot="1" x14ac:dyDescent="0.35">
      <c r="A101" s="38" t="s">
        <v>18</v>
      </c>
      <c r="B101" s="10" t="s">
        <v>0</v>
      </c>
      <c r="C101" s="4">
        <v>1</v>
      </c>
      <c r="D101" s="13">
        <v>3</v>
      </c>
      <c r="E101" s="13">
        <v>5</v>
      </c>
      <c r="F101" s="13">
        <v>5</v>
      </c>
      <c r="G101" s="11">
        <f t="shared" si="51"/>
        <v>14</v>
      </c>
      <c r="H101" s="43"/>
      <c r="I101" s="44"/>
      <c r="J101" s="29"/>
    </row>
    <row r="102" spans="1:10" ht="15" thickBot="1" x14ac:dyDescent="0.35">
      <c r="A102" s="39"/>
      <c r="B102" s="10" t="s">
        <v>38</v>
      </c>
      <c r="C102" s="5">
        <f>1/D101</f>
        <v>0.33333333333333331</v>
      </c>
      <c r="D102" s="1">
        <v>1</v>
      </c>
      <c r="E102" s="1">
        <v>1</v>
      </c>
      <c r="F102" s="1">
        <f>1/D104</f>
        <v>0.33333333333333331</v>
      </c>
      <c r="G102" s="11">
        <f t="shared" si="51"/>
        <v>2.6666666666666665</v>
      </c>
      <c r="H102" s="43"/>
      <c r="I102" s="44"/>
      <c r="J102" s="29"/>
    </row>
    <row r="103" spans="1:10" ht="15" thickBot="1" x14ac:dyDescent="0.35">
      <c r="A103" s="39"/>
      <c r="B103" s="10" t="s">
        <v>39</v>
      </c>
      <c r="C103" s="5">
        <f>1/E101</f>
        <v>0.2</v>
      </c>
      <c r="D103" s="1">
        <f>1/E102</f>
        <v>1</v>
      </c>
      <c r="E103" s="1">
        <v>1</v>
      </c>
      <c r="F103" s="1">
        <f>1/E104</f>
        <v>0.33333333333333331</v>
      </c>
      <c r="G103" s="11">
        <f t="shared" si="51"/>
        <v>2.5333333333333337</v>
      </c>
      <c r="H103" s="43"/>
      <c r="I103" s="44"/>
      <c r="J103" s="29"/>
    </row>
    <row r="104" spans="1:10" ht="15" thickBot="1" x14ac:dyDescent="0.35">
      <c r="A104" s="40"/>
      <c r="B104" s="10" t="s">
        <v>40</v>
      </c>
      <c r="C104" s="7">
        <f>1/F101</f>
        <v>0.2</v>
      </c>
      <c r="D104" s="8">
        <v>3</v>
      </c>
      <c r="E104" s="8">
        <v>3</v>
      </c>
      <c r="F104" s="8">
        <v>1</v>
      </c>
      <c r="G104" s="11">
        <f t="shared" si="51"/>
        <v>7.2</v>
      </c>
      <c r="H104" s="45"/>
      <c r="I104" s="46"/>
      <c r="J104" s="29"/>
    </row>
    <row r="105" spans="1:10" ht="15" thickBot="1" x14ac:dyDescent="0.35">
      <c r="A105" s="2"/>
      <c r="B105" s="3"/>
      <c r="C105" s="10" t="s">
        <v>0</v>
      </c>
      <c r="D105" s="10" t="s">
        <v>38</v>
      </c>
      <c r="E105" s="10" t="s">
        <v>39</v>
      </c>
      <c r="F105" s="10" t="s">
        <v>40</v>
      </c>
      <c r="G105" s="10" t="s">
        <v>37</v>
      </c>
      <c r="H105" s="41" t="s">
        <v>12</v>
      </c>
      <c r="I105" s="42"/>
      <c r="J105" s="29"/>
    </row>
    <row r="106" spans="1:10" ht="15" thickBot="1" x14ac:dyDescent="0.35">
      <c r="A106" s="38" t="s">
        <v>15</v>
      </c>
      <c r="B106" s="10" t="s">
        <v>0</v>
      </c>
      <c r="C106" s="4">
        <v>1</v>
      </c>
      <c r="D106" s="13">
        <f>1/C107</f>
        <v>0.33333333333333331</v>
      </c>
      <c r="E106" s="13">
        <f>1/C108</f>
        <v>0.2</v>
      </c>
      <c r="F106" s="13">
        <f>1/C109</f>
        <v>0.33333333333333331</v>
      </c>
      <c r="G106" s="11">
        <f>SUM(C106:F106)</f>
        <v>1.8666666666666665</v>
      </c>
      <c r="H106" s="43"/>
      <c r="I106" s="44"/>
      <c r="J106" s="29"/>
    </row>
    <row r="107" spans="1:10" ht="15" thickBot="1" x14ac:dyDescent="0.35">
      <c r="A107" s="39"/>
      <c r="B107" s="10" t="s">
        <v>38</v>
      </c>
      <c r="C107" s="5">
        <v>3</v>
      </c>
      <c r="D107" s="1">
        <v>1</v>
      </c>
      <c r="E107" s="1">
        <v>3</v>
      </c>
      <c r="F107" s="1">
        <v>3</v>
      </c>
      <c r="G107" s="11">
        <f t="shared" ref="G107:G121" si="52">SUM(C107:F107)</f>
        <v>10</v>
      </c>
      <c r="H107" s="43"/>
      <c r="I107" s="44"/>
      <c r="J107" s="29"/>
    </row>
    <row r="108" spans="1:10" ht="15" thickBot="1" x14ac:dyDescent="0.35">
      <c r="A108" s="39"/>
      <c r="B108" s="10" t="s">
        <v>39</v>
      </c>
      <c r="C108" s="5">
        <v>5</v>
      </c>
      <c r="D108" s="1">
        <f>1/E107</f>
        <v>0.33333333333333331</v>
      </c>
      <c r="E108" s="1">
        <v>1</v>
      </c>
      <c r="F108" s="1">
        <v>1</v>
      </c>
      <c r="G108" s="11">
        <f t="shared" si="52"/>
        <v>7.333333333333333</v>
      </c>
      <c r="H108" s="43"/>
      <c r="I108" s="44"/>
      <c r="J108" s="29"/>
    </row>
    <row r="109" spans="1:10" ht="15" thickBot="1" x14ac:dyDescent="0.35">
      <c r="A109" s="40"/>
      <c r="B109" s="10" t="s">
        <v>40</v>
      </c>
      <c r="C109" s="7">
        <v>3</v>
      </c>
      <c r="D109" s="8">
        <f>1/F107</f>
        <v>0.33333333333333331</v>
      </c>
      <c r="E109" s="8">
        <f>1/F108</f>
        <v>1</v>
      </c>
      <c r="F109" s="8">
        <v>1</v>
      </c>
      <c r="G109" s="11">
        <f t="shared" si="52"/>
        <v>5.3333333333333339</v>
      </c>
      <c r="H109" s="43"/>
      <c r="I109" s="44"/>
      <c r="J109" s="29"/>
    </row>
    <row r="110" spans="1:10" ht="15" thickBot="1" x14ac:dyDescent="0.35">
      <c r="A110" s="38" t="s">
        <v>16</v>
      </c>
      <c r="B110" s="10" t="s">
        <v>0</v>
      </c>
      <c r="C110" s="4">
        <v>1</v>
      </c>
      <c r="D110" s="13">
        <f>1/C111</f>
        <v>0.33333333333333331</v>
      </c>
      <c r="E110" s="13">
        <f>1/C112</f>
        <v>0.33333333333333331</v>
      </c>
      <c r="F110" s="13">
        <f>1/C113</f>
        <v>0.2</v>
      </c>
      <c r="G110" s="11">
        <f t="shared" si="52"/>
        <v>1.8666666666666665</v>
      </c>
      <c r="H110" s="43"/>
      <c r="I110" s="44"/>
      <c r="J110" s="29"/>
    </row>
    <row r="111" spans="1:10" ht="15" thickBot="1" x14ac:dyDescent="0.35">
      <c r="A111" s="39"/>
      <c r="B111" s="10" t="s">
        <v>38</v>
      </c>
      <c r="C111" s="5">
        <v>3</v>
      </c>
      <c r="D111" s="1">
        <v>1</v>
      </c>
      <c r="E111" s="1">
        <f>1/D112</f>
        <v>0.33333333333333331</v>
      </c>
      <c r="F111" s="1">
        <f>1/D113</f>
        <v>0.33333333333333331</v>
      </c>
      <c r="G111" s="11">
        <f t="shared" si="52"/>
        <v>4.6666666666666661</v>
      </c>
      <c r="H111" s="43"/>
      <c r="I111" s="44"/>
      <c r="J111" s="29"/>
    </row>
    <row r="112" spans="1:10" ht="15" thickBot="1" x14ac:dyDescent="0.35">
      <c r="A112" s="39"/>
      <c r="B112" s="10" t="s">
        <v>39</v>
      </c>
      <c r="C112" s="5">
        <v>3</v>
      </c>
      <c r="D112" s="1">
        <v>3</v>
      </c>
      <c r="E112" s="1">
        <v>1</v>
      </c>
      <c r="F112" s="1">
        <f>1/E113</f>
        <v>1</v>
      </c>
      <c r="G112" s="11">
        <f t="shared" si="52"/>
        <v>8</v>
      </c>
      <c r="H112" s="43"/>
      <c r="I112" s="44"/>
      <c r="J112" s="29"/>
    </row>
    <row r="113" spans="1:10" ht="15" thickBot="1" x14ac:dyDescent="0.35">
      <c r="A113" s="40"/>
      <c r="B113" s="10" t="s">
        <v>40</v>
      </c>
      <c r="C113" s="7">
        <v>5</v>
      </c>
      <c r="D113" s="8">
        <v>3</v>
      </c>
      <c r="E113" s="8">
        <v>1</v>
      </c>
      <c r="F113" s="8">
        <v>1</v>
      </c>
      <c r="G113" s="11">
        <f t="shared" si="52"/>
        <v>10</v>
      </c>
      <c r="H113" s="43"/>
      <c r="I113" s="44"/>
      <c r="J113" s="29"/>
    </row>
    <row r="114" spans="1:10" ht="15" thickBot="1" x14ac:dyDescent="0.35">
      <c r="A114" s="38" t="s">
        <v>17</v>
      </c>
      <c r="B114" s="10" t="s">
        <v>0</v>
      </c>
      <c r="C114" s="4">
        <v>1</v>
      </c>
      <c r="D114" s="13">
        <v>3</v>
      </c>
      <c r="E114" s="13">
        <v>5</v>
      </c>
      <c r="F114" s="13">
        <v>7</v>
      </c>
      <c r="G114" s="11">
        <f t="shared" si="52"/>
        <v>16</v>
      </c>
      <c r="H114" s="43"/>
      <c r="I114" s="44"/>
      <c r="J114" s="29"/>
    </row>
    <row r="115" spans="1:10" ht="15" thickBot="1" x14ac:dyDescent="0.35">
      <c r="A115" s="39"/>
      <c r="B115" s="10" t="s">
        <v>38</v>
      </c>
      <c r="C115" s="5">
        <f>1/D114</f>
        <v>0.33333333333333331</v>
      </c>
      <c r="D115" s="1">
        <v>1</v>
      </c>
      <c r="E115" s="1">
        <v>5</v>
      </c>
      <c r="F115" s="1">
        <v>3</v>
      </c>
      <c r="G115" s="11">
        <f t="shared" si="52"/>
        <v>9.3333333333333321</v>
      </c>
      <c r="H115" s="43"/>
      <c r="I115" s="44"/>
      <c r="J115" s="29"/>
    </row>
    <row r="116" spans="1:10" ht="15" thickBot="1" x14ac:dyDescent="0.35">
      <c r="A116" s="39"/>
      <c r="B116" s="10" t="s">
        <v>39</v>
      </c>
      <c r="C116" s="5">
        <f>1/E114</f>
        <v>0.2</v>
      </c>
      <c r="D116" s="1">
        <f>1/E115</f>
        <v>0.2</v>
      </c>
      <c r="E116" s="1">
        <v>1</v>
      </c>
      <c r="F116" s="1">
        <v>3</v>
      </c>
      <c r="G116" s="11">
        <f t="shared" si="52"/>
        <v>4.4000000000000004</v>
      </c>
      <c r="H116" s="43"/>
      <c r="I116" s="44"/>
      <c r="J116" s="29"/>
    </row>
    <row r="117" spans="1:10" ht="15" thickBot="1" x14ac:dyDescent="0.35">
      <c r="A117" s="40"/>
      <c r="B117" s="10" t="s">
        <v>40</v>
      </c>
      <c r="C117" s="7">
        <f>1/F114</f>
        <v>0.14285714285714285</v>
      </c>
      <c r="D117" s="8">
        <f>1/F115</f>
        <v>0.33333333333333331</v>
      </c>
      <c r="E117" s="8">
        <f>1/F116</f>
        <v>0.33333333333333331</v>
      </c>
      <c r="F117" s="8">
        <v>1</v>
      </c>
      <c r="G117" s="11">
        <f t="shared" si="52"/>
        <v>1.8095238095238095</v>
      </c>
      <c r="H117" s="43"/>
      <c r="I117" s="44"/>
      <c r="J117" s="29"/>
    </row>
    <row r="118" spans="1:10" ht="15" thickBot="1" x14ac:dyDescent="0.35">
      <c r="A118" s="38" t="s">
        <v>18</v>
      </c>
      <c r="B118" s="10" t="s">
        <v>0</v>
      </c>
      <c r="C118" s="4">
        <v>1</v>
      </c>
      <c r="D118" s="13">
        <v>3</v>
      </c>
      <c r="E118" s="13">
        <v>5</v>
      </c>
      <c r="F118" s="13">
        <v>5</v>
      </c>
      <c r="G118" s="11">
        <f t="shared" si="52"/>
        <v>14</v>
      </c>
      <c r="H118" s="43"/>
      <c r="I118" s="44"/>
      <c r="J118" s="29"/>
    </row>
    <row r="119" spans="1:10" ht="15" thickBot="1" x14ac:dyDescent="0.35">
      <c r="A119" s="39"/>
      <c r="B119" s="10" t="s">
        <v>38</v>
      </c>
      <c r="C119" s="5">
        <f>1/D118</f>
        <v>0.33333333333333331</v>
      </c>
      <c r="D119" s="1">
        <v>1</v>
      </c>
      <c r="E119" s="1">
        <v>1</v>
      </c>
      <c r="F119" s="1">
        <f>1/D121</f>
        <v>0.33333333333333331</v>
      </c>
      <c r="G119" s="11">
        <f t="shared" si="52"/>
        <v>2.6666666666666665</v>
      </c>
      <c r="H119" s="43"/>
      <c r="I119" s="44"/>
      <c r="J119" s="29"/>
    </row>
    <row r="120" spans="1:10" ht="15" thickBot="1" x14ac:dyDescent="0.35">
      <c r="A120" s="39"/>
      <c r="B120" s="10" t="s">
        <v>39</v>
      </c>
      <c r="C120" s="5">
        <f>1/E118</f>
        <v>0.2</v>
      </c>
      <c r="D120" s="1">
        <f>1/E119</f>
        <v>1</v>
      </c>
      <c r="E120" s="1">
        <v>1</v>
      </c>
      <c r="F120" s="1">
        <f>1/E121</f>
        <v>0.2</v>
      </c>
      <c r="G120" s="11">
        <f t="shared" si="52"/>
        <v>2.4000000000000004</v>
      </c>
      <c r="H120" s="43"/>
      <c r="I120" s="44"/>
      <c r="J120" s="29"/>
    </row>
    <row r="121" spans="1:10" ht="15" thickBot="1" x14ac:dyDescent="0.35">
      <c r="A121" s="40"/>
      <c r="B121" s="10" t="s">
        <v>40</v>
      </c>
      <c r="C121" s="7">
        <f>1/F118</f>
        <v>0.2</v>
      </c>
      <c r="D121" s="8">
        <v>3</v>
      </c>
      <c r="E121" s="8">
        <v>5</v>
      </c>
      <c r="F121" s="8">
        <v>1</v>
      </c>
      <c r="G121" s="11">
        <f t="shared" si="52"/>
        <v>9.1999999999999993</v>
      </c>
      <c r="H121" s="45"/>
      <c r="I121" s="46"/>
      <c r="J121" s="29"/>
    </row>
    <row r="122" spans="1:10" ht="15" thickBot="1" x14ac:dyDescent="0.35">
      <c r="A122" s="2"/>
      <c r="B122" s="3"/>
      <c r="C122" s="10" t="s">
        <v>0</v>
      </c>
      <c r="D122" s="10" t="s">
        <v>38</v>
      </c>
      <c r="E122" s="10" t="s">
        <v>39</v>
      </c>
      <c r="F122" s="10" t="s">
        <v>40</v>
      </c>
      <c r="G122" s="10" t="s">
        <v>37</v>
      </c>
      <c r="H122" s="41" t="s">
        <v>13</v>
      </c>
      <c r="I122" s="42"/>
      <c r="J122" s="29"/>
    </row>
    <row r="123" spans="1:10" ht="15" thickBot="1" x14ac:dyDescent="0.35">
      <c r="A123" s="38" t="s">
        <v>15</v>
      </c>
      <c r="B123" s="10" t="s">
        <v>0</v>
      </c>
      <c r="C123" s="4">
        <v>1</v>
      </c>
      <c r="D123" s="13">
        <f>1/C124</f>
        <v>0.33333333333333331</v>
      </c>
      <c r="E123" s="13">
        <f>1/C125</f>
        <v>0.33333333333333331</v>
      </c>
      <c r="F123" s="13">
        <f>1/C126</f>
        <v>0.2</v>
      </c>
      <c r="G123" s="11">
        <f>SUM(C123:F123)</f>
        <v>1.8666666666666665</v>
      </c>
      <c r="H123" s="43"/>
      <c r="I123" s="44"/>
      <c r="J123" s="29"/>
    </row>
    <row r="124" spans="1:10" ht="15" thickBot="1" x14ac:dyDescent="0.35">
      <c r="A124" s="39"/>
      <c r="B124" s="10" t="s">
        <v>38</v>
      </c>
      <c r="C124" s="5">
        <v>3</v>
      </c>
      <c r="D124" s="1">
        <v>1</v>
      </c>
      <c r="E124" s="1">
        <v>3</v>
      </c>
      <c r="F124" s="1">
        <v>1</v>
      </c>
      <c r="G124" s="11">
        <f t="shared" ref="G124:G138" si="53">SUM(C124:F124)</f>
        <v>8</v>
      </c>
      <c r="H124" s="43"/>
      <c r="I124" s="44"/>
      <c r="J124" s="29"/>
    </row>
    <row r="125" spans="1:10" ht="15" thickBot="1" x14ac:dyDescent="0.35">
      <c r="A125" s="39"/>
      <c r="B125" s="10" t="s">
        <v>39</v>
      </c>
      <c r="C125" s="5">
        <v>3</v>
      </c>
      <c r="D125" s="1">
        <f>1/E124</f>
        <v>0.33333333333333331</v>
      </c>
      <c r="E125" s="1">
        <v>1</v>
      </c>
      <c r="F125" s="1">
        <v>1</v>
      </c>
      <c r="G125" s="11">
        <f t="shared" si="53"/>
        <v>5.3333333333333339</v>
      </c>
      <c r="H125" s="43"/>
      <c r="I125" s="44"/>
      <c r="J125" s="29"/>
    </row>
    <row r="126" spans="1:10" ht="15" thickBot="1" x14ac:dyDescent="0.35">
      <c r="A126" s="40"/>
      <c r="B126" s="10" t="s">
        <v>40</v>
      </c>
      <c r="C126" s="7">
        <v>5</v>
      </c>
      <c r="D126" s="8">
        <f>1/F124</f>
        <v>1</v>
      </c>
      <c r="E126" s="8">
        <f>1/F125</f>
        <v>1</v>
      </c>
      <c r="F126" s="8">
        <v>1</v>
      </c>
      <c r="G126" s="11">
        <f t="shared" si="53"/>
        <v>8</v>
      </c>
      <c r="H126" s="43"/>
      <c r="I126" s="44"/>
      <c r="J126" s="29"/>
    </row>
    <row r="127" spans="1:10" ht="15" thickBot="1" x14ac:dyDescent="0.35">
      <c r="A127" s="38" t="s">
        <v>16</v>
      </c>
      <c r="B127" s="10" t="s">
        <v>0</v>
      </c>
      <c r="C127" s="4">
        <v>1</v>
      </c>
      <c r="D127" s="13">
        <f>1/C128</f>
        <v>0.33333333333333331</v>
      </c>
      <c r="E127" s="13">
        <f>1/C129</f>
        <v>0.2</v>
      </c>
      <c r="F127" s="13">
        <f>1/C130</f>
        <v>0.2</v>
      </c>
      <c r="G127" s="11">
        <f t="shared" si="53"/>
        <v>1.7333333333333332</v>
      </c>
      <c r="H127" s="43"/>
      <c r="I127" s="44"/>
      <c r="J127" s="29"/>
    </row>
    <row r="128" spans="1:10" ht="15" thickBot="1" x14ac:dyDescent="0.35">
      <c r="A128" s="39"/>
      <c r="B128" s="10" t="s">
        <v>38</v>
      </c>
      <c r="C128" s="5">
        <v>3</v>
      </c>
      <c r="D128" s="1">
        <v>1</v>
      </c>
      <c r="E128" s="1">
        <f>1/D129</f>
        <v>0.33333333333333331</v>
      </c>
      <c r="F128" s="1">
        <f>1/D130</f>
        <v>0.33333333333333331</v>
      </c>
      <c r="G128" s="11">
        <f t="shared" si="53"/>
        <v>4.6666666666666661</v>
      </c>
      <c r="H128" s="43"/>
      <c r="I128" s="44"/>
      <c r="J128" s="29"/>
    </row>
    <row r="129" spans="1:10" ht="15" thickBot="1" x14ac:dyDescent="0.35">
      <c r="A129" s="39"/>
      <c r="B129" s="10" t="s">
        <v>39</v>
      </c>
      <c r="C129" s="5">
        <v>5</v>
      </c>
      <c r="D129" s="1">
        <v>3</v>
      </c>
      <c r="E129" s="1">
        <v>1</v>
      </c>
      <c r="F129" s="1">
        <f>1/E130</f>
        <v>0.33333333333333331</v>
      </c>
      <c r="G129" s="11">
        <f t="shared" si="53"/>
        <v>9.3333333333333339</v>
      </c>
      <c r="H129" s="43"/>
      <c r="I129" s="44"/>
      <c r="J129" s="29"/>
    </row>
    <row r="130" spans="1:10" ht="15" thickBot="1" x14ac:dyDescent="0.35">
      <c r="A130" s="40"/>
      <c r="B130" s="10" t="s">
        <v>40</v>
      </c>
      <c r="C130" s="7">
        <v>5</v>
      </c>
      <c r="D130" s="8">
        <v>3</v>
      </c>
      <c r="E130" s="8">
        <v>3</v>
      </c>
      <c r="F130" s="8">
        <v>1</v>
      </c>
      <c r="G130" s="11">
        <f t="shared" si="53"/>
        <v>12</v>
      </c>
      <c r="H130" s="43"/>
      <c r="I130" s="44"/>
      <c r="J130" s="29"/>
    </row>
    <row r="131" spans="1:10" ht="15" thickBot="1" x14ac:dyDescent="0.35">
      <c r="A131" s="38" t="s">
        <v>17</v>
      </c>
      <c r="B131" s="10" t="s">
        <v>0</v>
      </c>
      <c r="C131" s="4">
        <v>1</v>
      </c>
      <c r="D131" s="13">
        <v>3</v>
      </c>
      <c r="E131" s="13">
        <v>5</v>
      </c>
      <c r="F131" s="13">
        <v>7</v>
      </c>
      <c r="G131" s="11">
        <f t="shared" si="53"/>
        <v>16</v>
      </c>
      <c r="H131" s="43"/>
      <c r="I131" s="44"/>
      <c r="J131" s="29"/>
    </row>
    <row r="132" spans="1:10" ht="15" thickBot="1" x14ac:dyDescent="0.35">
      <c r="A132" s="39"/>
      <c r="B132" s="10" t="s">
        <v>38</v>
      </c>
      <c r="C132" s="5">
        <f>1/D131</f>
        <v>0.33333333333333331</v>
      </c>
      <c r="D132" s="1">
        <v>1</v>
      </c>
      <c r="E132" s="1">
        <v>3</v>
      </c>
      <c r="F132" s="1">
        <v>3</v>
      </c>
      <c r="G132" s="11">
        <f t="shared" si="53"/>
        <v>7.333333333333333</v>
      </c>
      <c r="H132" s="43"/>
      <c r="I132" s="44"/>
      <c r="J132" s="29"/>
    </row>
    <row r="133" spans="1:10" ht="15" thickBot="1" x14ac:dyDescent="0.35">
      <c r="A133" s="39"/>
      <c r="B133" s="10" t="s">
        <v>39</v>
      </c>
      <c r="C133" s="5">
        <f>1/E131</f>
        <v>0.2</v>
      </c>
      <c r="D133" s="1">
        <f>1/E132</f>
        <v>0.33333333333333331</v>
      </c>
      <c r="E133" s="1">
        <v>1</v>
      </c>
      <c r="F133" s="1">
        <v>3</v>
      </c>
      <c r="G133" s="11">
        <f t="shared" si="53"/>
        <v>4.5333333333333332</v>
      </c>
      <c r="H133" s="43"/>
      <c r="I133" s="44"/>
      <c r="J133" s="29"/>
    </row>
    <row r="134" spans="1:10" ht="15" thickBot="1" x14ac:dyDescent="0.35">
      <c r="A134" s="40"/>
      <c r="B134" s="10" t="s">
        <v>40</v>
      </c>
      <c r="C134" s="7">
        <f>1/F131</f>
        <v>0.14285714285714285</v>
      </c>
      <c r="D134" s="8">
        <f>1/F132</f>
        <v>0.33333333333333331</v>
      </c>
      <c r="E134" s="8">
        <f>1/F133</f>
        <v>0.33333333333333331</v>
      </c>
      <c r="F134" s="8">
        <v>1</v>
      </c>
      <c r="G134" s="11">
        <f t="shared" si="53"/>
        <v>1.8095238095238095</v>
      </c>
      <c r="H134" s="43"/>
      <c r="I134" s="44"/>
      <c r="J134" s="29"/>
    </row>
    <row r="135" spans="1:10" ht="15" thickBot="1" x14ac:dyDescent="0.35">
      <c r="A135" s="38" t="s">
        <v>18</v>
      </c>
      <c r="B135" s="10" t="s">
        <v>0</v>
      </c>
      <c r="C135" s="4">
        <v>1</v>
      </c>
      <c r="D135" s="13">
        <v>3</v>
      </c>
      <c r="E135" s="13">
        <v>5</v>
      </c>
      <c r="F135" s="13">
        <v>5</v>
      </c>
      <c r="G135" s="11">
        <f t="shared" si="53"/>
        <v>14</v>
      </c>
      <c r="H135" s="43"/>
      <c r="I135" s="44"/>
      <c r="J135" s="29"/>
    </row>
    <row r="136" spans="1:10" ht="15" thickBot="1" x14ac:dyDescent="0.35">
      <c r="A136" s="39"/>
      <c r="B136" s="10" t="s">
        <v>38</v>
      </c>
      <c r="C136" s="5">
        <f>1/D135</f>
        <v>0.33333333333333331</v>
      </c>
      <c r="D136" s="1">
        <v>1</v>
      </c>
      <c r="E136" s="1">
        <v>3</v>
      </c>
      <c r="F136" s="1">
        <f>1/D138</f>
        <v>0.33333333333333331</v>
      </c>
      <c r="G136" s="11">
        <f t="shared" si="53"/>
        <v>4.6666666666666661</v>
      </c>
      <c r="H136" s="43"/>
      <c r="I136" s="44"/>
      <c r="J136" s="29"/>
    </row>
    <row r="137" spans="1:10" ht="15" thickBot="1" x14ac:dyDescent="0.35">
      <c r="A137" s="39"/>
      <c r="B137" s="10" t="s">
        <v>39</v>
      </c>
      <c r="C137" s="5">
        <f>1/E135</f>
        <v>0.2</v>
      </c>
      <c r="D137" s="1">
        <f>1/E136</f>
        <v>0.33333333333333331</v>
      </c>
      <c r="E137" s="1">
        <v>1</v>
      </c>
      <c r="F137" s="1">
        <f>1/E138</f>
        <v>1</v>
      </c>
      <c r="G137" s="11">
        <f t="shared" si="53"/>
        <v>2.5333333333333332</v>
      </c>
      <c r="H137" s="43"/>
      <c r="I137" s="44"/>
      <c r="J137" s="29"/>
    </row>
    <row r="138" spans="1:10" ht="15" thickBot="1" x14ac:dyDescent="0.35">
      <c r="A138" s="40"/>
      <c r="B138" s="10" t="s">
        <v>40</v>
      </c>
      <c r="C138" s="7">
        <f>1/F135</f>
        <v>0.2</v>
      </c>
      <c r="D138" s="8">
        <v>3</v>
      </c>
      <c r="E138" s="8">
        <v>1</v>
      </c>
      <c r="F138" s="8">
        <v>1</v>
      </c>
      <c r="G138" s="10">
        <f t="shared" si="53"/>
        <v>5.2</v>
      </c>
      <c r="H138" s="45"/>
      <c r="I138" s="46"/>
      <c r="J138" s="29"/>
    </row>
    <row r="139" spans="1:10" ht="15" thickBot="1" x14ac:dyDescent="0.35">
      <c r="A139" s="2"/>
      <c r="B139" s="3"/>
      <c r="C139" s="11" t="s">
        <v>0</v>
      </c>
      <c r="D139" s="11" t="s">
        <v>38</v>
      </c>
      <c r="E139" s="11" t="s">
        <v>39</v>
      </c>
      <c r="F139" s="11" t="s">
        <v>40</v>
      </c>
      <c r="G139" s="10" t="s">
        <v>37</v>
      </c>
      <c r="H139" s="41" t="s">
        <v>41</v>
      </c>
      <c r="I139" s="42"/>
      <c r="J139" s="29"/>
    </row>
    <row r="140" spans="1:10" ht="15" thickBot="1" x14ac:dyDescent="0.35">
      <c r="A140" s="38" t="s">
        <v>15</v>
      </c>
      <c r="B140" s="2" t="s">
        <v>0</v>
      </c>
      <c r="C140" s="4">
        <f>POWER(C89*C106*C123,1/3)</f>
        <v>1</v>
      </c>
      <c r="D140" s="13">
        <f t="shared" ref="D140:F140" si="54">POWER(D89*D106*D123,1/3)</f>
        <v>0.33333333333333337</v>
      </c>
      <c r="E140" s="13">
        <f t="shared" si="54"/>
        <v>0.23712622029933755</v>
      </c>
      <c r="F140" s="14">
        <f t="shared" si="54"/>
        <v>0.23712622029933755</v>
      </c>
      <c r="G140" s="14">
        <f>SUM(C140:F140)</f>
        <v>1.8075857739320087</v>
      </c>
      <c r="H140" s="43"/>
      <c r="I140" s="44"/>
      <c r="J140" s="29"/>
    </row>
    <row r="141" spans="1:10" ht="15" thickBot="1" x14ac:dyDescent="0.35">
      <c r="A141" s="39"/>
      <c r="B141" s="2" t="s">
        <v>38</v>
      </c>
      <c r="C141" s="5">
        <f t="shared" ref="C141:F141" si="55">POWER(C90*C107*C124,1/3)</f>
        <v>2.9999999999999996</v>
      </c>
      <c r="D141" s="1">
        <f t="shared" si="55"/>
        <v>1</v>
      </c>
      <c r="E141" s="1">
        <f t="shared" si="55"/>
        <v>2.9999999999999996</v>
      </c>
      <c r="F141" s="6">
        <f t="shared" si="55"/>
        <v>1.4422495703074083</v>
      </c>
      <c r="G141" s="14">
        <f t="shared" ref="G141:G155" si="56">SUM(C141:F141)</f>
        <v>8.442249570307407</v>
      </c>
      <c r="H141" s="43"/>
      <c r="I141" s="44"/>
      <c r="J141" s="29"/>
    </row>
    <row r="142" spans="1:10" ht="15" thickBot="1" x14ac:dyDescent="0.35">
      <c r="A142" s="39"/>
      <c r="B142" s="2" t="s">
        <v>39</v>
      </c>
      <c r="C142" s="5">
        <f t="shared" ref="C142:F142" si="57">POWER(C91*C108*C125,1/3)</f>
        <v>4.2171633265087456</v>
      </c>
      <c r="D142" s="1">
        <f t="shared" si="57"/>
        <v>0.33333333333333337</v>
      </c>
      <c r="E142" s="1">
        <f t="shared" si="57"/>
        <v>1</v>
      </c>
      <c r="F142" s="6">
        <f t="shared" si="57"/>
        <v>1</v>
      </c>
      <c r="G142" s="14">
        <f t="shared" si="56"/>
        <v>6.5504966598420786</v>
      </c>
      <c r="H142" s="43"/>
      <c r="I142" s="44"/>
      <c r="J142" s="29"/>
    </row>
    <row r="143" spans="1:10" ht="15" thickBot="1" x14ac:dyDescent="0.35">
      <c r="A143" s="40"/>
      <c r="B143" s="2" t="s">
        <v>40</v>
      </c>
      <c r="C143" s="5">
        <f t="shared" ref="C143:F143" si="58">POWER(C92*C109*C126,1/3)</f>
        <v>4.2171633265087456</v>
      </c>
      <c r="D143" s="1">
        <f t="shared" si="58"/>
        <v>0.69336127435063466</v>
      </c>
      <c r="E143" s="1">
        <f t="shared" si="58"/>
        <v>1</v>
      </c>
      <c r="F143" s="6">
        <f t="shared" si="58"/>
        <v>1</v>
      </c>
      <c r="G143" s="14">
        <f t="shared" si="56"/>
        <v>6.9105246008593806</v>
      </c>
      <c r="H143" s="43"/>
      <c r="I143" s="44"/>
      <c r="J143" s="29"/>
    </row>
    <row r="144" spans="1:10" ht="15" thickBot="1" x14ac:dyDescent="0.35">
      <c r="A144" s="38" t="s">
        <v>16</v>
      </c>
      <c r="B144" s="2" t="s">
        <v>0</v>
      </c>
      <c r="C144" s="4">
        <f t="shared" ref="C144:F144" si="59">POWER(C93*C110*C127,1/3)</f>
        <v>1</v>
      </c>
      <c r="D144" s="13">
        <f t="shared" si="59"/>
        <v>0.33333333333333337</v>
      </c>
      <c r="E144" s="13">
        <f t="shared" si="59"/>
        <v>0.28114422176724979</v>
      </c>
      <c r="F144" s="14">
        <f t="shared" si="59"/>
        <v>0.20000000000000007</v>
      </c>
      <c r="G144" s="14">
        <f t="shared" si="56"/>
        <v>1.8144775551005834</v>
      </c>
      <c r="H144" s="43"/>
      <c r="I144" s="44"/>
      <c r="J144" s="29"/>
    </row>
    <row r="145" spans="1:10" ht="15" thickBot="1" x14ac:dyDescent="0.35">
      <c r="A145" s="39"/>
      <c r="B145" s="2" t="s">
        <v>38</v>
      </c>
      <c r="C145" s="5">
        <f t="shared" ref="C145:F145" si="60">POWER(C94*C111*C128,1/3)</f>
        <v>2.9999999999999996</v>
      </c>
      <c r="D145" s="1">
        <f t="shared" si="60"/>
        <v>1</v>
      </c>
      <c r="E145" s="1">
        <f t="shared" si="60"/>
        <v>0.48074985676913612</v>
      </c>
      <c r="F145" s="6">
        <f t="shared" si="60"/>
        <v>0.33333333333333337</v>
      </c>
      <c r="G145" s="14">
        <f t="shared" si="56"/>
        <v>4.814083190102469</v>
      </c>
      <c r="H145" s="43"/>
      <c r="I145" s="44"/>
      <c r="J145" s="29"/>
    </row>
    <row r="146" spans="1:10" ht="15" thickBot="1" x14ac:dyDescent="0.35">
      <c r="A146" s="39"/>
      <c r="B146" s="2" t="s">
        <v>39</v>
      </c>
      <c r="C146" s="5">
        <f t="shared" ref="C146:F146" si="61">POWER(C95*C112*C129,1/3)</f>
        <v>3.5568933044900626</v>
      </c>
      <c r="D146" s="1">
        <f t="shared" si="61"/>
        <v>2.0800838230519041</v>
      </c>
      <c r="E146" s="1">
        <f t="shared" si="61"/>
        <v>1</v>
      </c>
      <c r="F146" s="6">
        <f t="shared" si="61"/>
        <v>0.48074985676913612</v>
      </c>
      <c r="G146" s="14">
        <f t="shared" si="56"/>
        <v>7.1177269843111022</v>
      </c>
      <c r="H146" s="43"/>
      <c r="I146" s="44"/>
      <c r="J146" s="29"/>
    </row>
    <row r="147" spans="1:10" ht="15" thickBot="1" x14ac:dyDescent="0.35">
      <c r="A147" s="40"/>
      <c r="B147" s="2" t="s">
        <v>40</v>
      </c>
      <c r="C147" s="5">
        <f t="shared" ref="C147:F147" si="62">POWER(C96*C113*C130,1/3)</f>
        <v>5.0000000000000009</v>
      </c>
      <c r="D147" s="1">
        <f t="shared" si="62"/>
        <v>2.9999999999999996</v>
      </c>
      <c r="E147" s="1">
        <f t="shared" si="62"/>
        <v>2.0800838230519041</v>
      </c>
      <c r="F147" s="6">
        <f t="shared" si="62"/>
        <v>1</v>
      </c>
      <c r="G147" s="14">
        <f t="shared" si="56"/>
        <v>11.080083823051904</v>
      </c>
      <c r="H147" s="43"/>
      <c r="I147" s="44"/>
      <c r="J147" s="29"/>
    </row>
    <row r="148" spans="1:10" ht="15" thickBot="1" x14ac:dyDescent="0.35">
      <c r="A148" s="38" t="s">
        <v>17</v>
      </c>
      <c r="B148" s="2" t="s">
        <v>0</v>
      </c>
      <c r="C148" s="4">
        <f t="shared" ref="C148:F148" si="63">POWER(C97*C114*C131,1/3)</f>
        <v>1</v>
      </c>
      <c r="D148" s="13">
        <f t="shared" si="63"/>
        <v>2.9999999999999996</v>
      </c>
      <c r="E148" s="13">
        <f t="shared" si="63"/>
        <v>5.0000000000000009</v>
      </c>
      <c r="F148" s="14">
        <f t="shared" si="63"/>
        <v>6.9999999999999982</v>
      </c>
      <c r="G148" s="14">
        <f t="shared" si="56"/>
        <v>15.999999999999998</v>
      </c>
      <c r="H148" s="43"/>
      <c r="I148" s="44"/>
      <c r="J148" s="29"/>
    </row>
    <row r="149" spans="1:10" ht="15" thickBot="1" x14ac:dyDescent="0.35">
      <c r="A149" s="39"/>
      <c r="B149" s="2" t="s">
        <v>38</v>
      </c>
      <c r="C149" s="5">
        <f t="shared" ref="C149:F149" si="64">POWER(C98*C115*C132,1/3)</f>
        <v>0.33333333333333337</v>
      </c>
      <c r="D149" s="1">
        <f t="shared" si="64"/>
        <v>1</v>
      </c>
      <c r="E149" s="1">
        <f t="shared" si="64"/>
        <v>4.2171633265087456</v>
      </c>
      <c r="F149" s="6">
        <f t="shared" si="64"/>
        <v>2.9999999999999996</v>
      </c>
      <c r="G149" s="14">
        <f t="shared" si="56"/>
        <v>8.5504966598420786</v>
      </c>
      <c r="H149" s="43"/>
      <c r="I149" s="44"/>
      <c r="J149" s="29"/>
    </row>
    <row r="150" spans="1:10" ht="15" thickBot="1" x14ac:dyDescent="0.35">
      <c r="A150" s="39"/>
      <c r="B150" s="2" t="s">
        <v>39</v>
      </c>
      <c r="C150" s="5">
        <f t="shared" ref="C150:F150" si="65">POWER(C99*C116*C133,1/3)</f>
        <v>0.20000000000000007</v>
      </c>
      <c r="D150" s="1">
        <f t="shared" si="65"/>
        <v>0.23712622029933755</v>
      </c>
      <c r="E150" s="1">
        <f t="shared" si="65"/>
        <v>1</v>
      </c>
      <c r="F150" s="6">
        <f t="shared" si="65"/>
        <v>2.9999999999999996</v>
      </c>
      <c r="G150" s="14">
        <f t="shared" si="56"/>
        <v>4.4371262202993371</v>
      </c>
      <c r="H150" s="43"/>
      <c r="I150" s="44"/>
      <c r="J150" s="29"/>
    </row>
    <row r="151" spans="1:10" ht="15" thickBot="1" x14ac:dyDescent="0.35">
      <c r="A151" s="40"/>
      <c r="B151" s="2" t="s">
        <v>40</v>
      </c>
      <c r="C151" s="5">
        <f t="shared" ref="C151:F151" si="66">POWER(C100*C117*C134,1/3)</f>
        <v>0.14285714285714285</v>
      </c>
      <c r="D151" s="1">
        <f t="shared" si="66"/>
        <v>0.33333333333333337</v>
      </c>
      <c r="E151" s="1">
        <f t="shared" si="66"/>
        <v>0.33333333333333337</v>
      </c>
      <c r="F151" s="6">
        <f t="shared" si="66"/>
        <v>1</v>
      </c>
      <c r="G151" s="14">
        <f t="shared" si="56"/>
        <v>1.8095238095238095</v>
      </c>
      <c r="H151" s="43"/>
      <c r="I151" s="44"/>
      <c r="J151" s="29"/>
    </row>
    <row r="152" spans="1:10" ht="15" thickBot="1" x14ac:dyDescent="0.35">
      <c r="A152" s="38" t="s">
        <v>18</v>
      </c>
      <c r="B152" s="2" t="s">
        <v>0</v>
      </c>
      <c r="C152" s="4">
        <f t="shared" ref="C152:F152" si="67">POWER(C101*C118*C135,1/3)</f>
        <v>1</v>
      </c>
      <c r="D152" s="13">
        <f t="shared" si="67"/>
        <v>2.9999999999999996</v>
      </c>
      <c r="E152" s="13">
        <f t="shared" si="67"/>
        <v>5.0000000000000009</v>
      </c>
      <c r="F152" s="14">
        <f t="shared" si="67"/>
        <v>5.0000000000000009</v>
      </c>
      <c r="G152" s="14">
        <f t="shared" si="56"/>
        <v>14</v>
      </c>
      <c r="H152" s="43"/>
      <c r="I152" s="44"/>
      <c r="J152" s="29"/>
    </row>
    <row r="153" spans="1:10" ht="15" thickBot="1" x14ac:dyDescent="0.35">
      <c r="A153" s="39"/>
      <c r="B153" s="2" t="s">
        <v>38</v>
      </c>
      <c r="C153" s="5">
        <f t="shared" ref="C153:F153" si="68">POWER(C102*C119*C136,1/3)</f>
        <v>0.33333333333333337</v>
      </c>
      <c r="D153" s="1">
        <f t="shared" si="68"/>
        <v>1</v>
      </c>
      <c r="E153" s="1">
        <f t="shared" si="68"/>
        <v>1.4422495703074083</v>
      </c>
      <c r="F153" s="6">
        <f t="shared" si="68"/>
        <v>0.33333333333333337</v>
      </c>
      <c r="G153" s="14">
        <f t="shared" si="56"/>
        <v>3.1089162369740753</v>
      </c>
      <c r="H153" s="43"/>
      <c r="I153" s="44"/>
      <c r="J153" s="29"/>
    </row>
    <row r="154" spans="1:10" ht="15" thickBot="1" x14ac:dyDescent="0.35">
      <c r="A154" s="39"/>
      <c r="B154" s="2" t="s">
        <v>39</v>
      </c>
      <c r="C154" s="5">
        <f t="shared" ref="C154:F154" si="69">POWER(C103*C120*C137,1/3)</f>
        <v>0.20000000000000007</v>
      </c>
      <c r="D154" s="1">
        <f t="shared" si="69"/>
        <v>0.69336127435063466</v>
      </c>
      <c r="E154" s="1">
        <f t="shared" si="69"/>
        <v>1</v>
      </c>
      <c r="F154" s="6">
        <f t="shared" si="69"/>
        <v>0.40548013303822666</v>
      </c>
      <c r="G154" s="14">
        <f t="shared" si="56"/>
        <v>2.2988414073888612</v>
      </c>
      <c r="H154" s="43"/>
      <c r="I154" s="44"/>
      <c r="J154" s="29"/>
    </row>
    <row r="155" spans="1:10" ht="15" thickBot="1" x14ac:dyDescent="0.35">
      <c r="A155" s="40"/>
      <c r="B155" s="2" t="s">
        <v>40</v>
      </c>
      <c r="C155" s="7">
        <f t="shared" ref="C155:F155" si="70">POWER(C104*C121*C138,1/3)</f>
        <v>0.20000000000000007</v>
      </c>
      <c r="D155" s="8">
        <f t="shared" si="70"/>
        <v>2.9999999999999996</v>
      </c>
      <c r="E155" s="8">
        <f t="shared" si="70"/>
        <v>2.4662120743304703</v>
      </c>
      <c r="F155" s="9">
        <f t="shared" si="70"/>
        <v>1</v>
      </c>
      <c r="G155" s="3">
        <f t="shared" si="56"/>
        <v>6.6662120743304705</v>
      </c>
      <c r="H155" s="45"/>
      <c r="I155" s="46"/>
      <c r="J155" s="29"/>
    </row>
    <row r="156" spans="1:10" ht="15" thickBot="1" x14ac:dyDescent="0.35">
      <c r="A156" s="2"/>
      <c r="B156" s="3"/>
      <c r="C156" s="11" t="s">
        <v>0</v>
      </c>
      <c r="D156" s="11" t="s">
        <v>38</v>
      </c>
      <c r="E156" s="11" t="s">
        <v>39</v>
      </c>
      <c r="F156" s="11" t="s">
        <v>40</v>
      </c>
      <c r="G156" s="10" t="s">
        <v>37</v>
      </c>
      <c r="H156" s="32" t="s">
        <v>42</v>
      </c>
      <c r="I156" s="33"/>
      <c r="J156" s="29"/>
    </row>
    <row r="157" spans="1:10" ht="15" thickBot="1" x14ac:dyDescent="0.35">
      <c r="A157" s="38" t="s">
        <v>15</v>
      </c>
      <c r="B157" s="2" t="s">
        <v>0</v>
      </c>
      <c r="C157" s="4">
        <f>C140/SUM(C$140:C$143)</f>
        <v>8.042252933393268E-2</v>
      </c>
      <c r="D157" s="13">
        <f t="shared" ref="D157:F157" si="71">D140/SUM(D$140:D$143)</f>
        <v>0.14124126563927392</v>
      </c>
      <c r="E157" s="13">
        <f t="shared" si="71"/>
        <v>4.527792730681679E-2</v>
      </c>
      <c r="F157" s="14">
        <f t="shared" si="71"/>
        <v>6.4447404612681433E-2</v>
      </c>
      <c r="G157" s="14">
        <f>SUM(C157:F157)</f>
        <v>0.33138912689270483</v>
      </c>
      <c r="H157" s="34"/>
      <c r="I157" s="35"/>
      <c r="J157" s="29"/>
    </row>
    <row r="158" spans="1:10" ht="15" thickBot="1" x14ac:dyDescent="0.35">
      <c r="A158" s="39"/>
      <c r="B158" s="2" t="s">
        <v>38</v>
      </c>
      <c r="C158" s="5">
        <f t="shared" ref="C158:F158" si="72">C141/SUM(C$140:C$143)</f>
        <v>0.24126758800179801</v>
      </c>
      <c r="D158" s="1">
        <f t="shared" si="72"/>
        <v>0.42372379691782169</v>
      </c>
      <c r="E158" s="1">
        <f t="shared" si="72"/>
        <v>0.57283324361590993</v>
      </c>
      <c r="F158" s="6">
        <f t="shared" si="72"/>
        <v>0.39198213294477724</v>
      </c>
      <c r="G158" s="14">
        <f t="shared" ref="G158:G172" si="73">SUM(C158:F158)</f>
        <v>1.6298067614803069</v>
      </c>
      <c r="H158" s="34"/>
      <c r="I158" s="35"/>
      <c r="J158" s="29"/>
    </row>
    <row r="159" spans="1:10" ht="15" thickBot="1" x14ac:dyDescent="0.35">
      <c r="A159" s="39"/>
      <c r="B159" s="2" t="s">
        <v>39</v>
      </c>
      <c r="C159" s="5">
        <f t="shared" ref="C159:F159" si="74">C142/SUM(C$140:C$143)</f>
        <v>0.3391549413321347</v>
      </c>
      <c r="D159" s="1">
        <f t="shared" si="74"/>
        <v>0.14124126563927392</v>
      </c>
      <c r="E159" s="1">
        <f t="shared" si="74"/>
        <v>0.19094441453863667</v>
      </c>
      <c r="F159" s="6">
        <f t="shared" si="74"/>
        <v>0.27178523122127068</v>
      </c>
      <c r="G159" s="14">
        <f t="shared" si="73"/>
        <v>0.94312585273131599</v>
      </c>
      <c r="H159" s="34"/>
      <c r="I159" s="35"/>
      <c r="J159" s="29"/>
    </row>
    <row r="160" spans="1:10" ht="15" thickBot="1" x14ac:dyDescent="0.35">
      <c r="A160" s="40"/>
      <c r="B160" s="2" t="s">
        <v>40</v>
      </c>
      <c r="C160" s="5">
        <f t="shared" ref="C160:F160" si="75">C143/SUM(C$140:C$143)</f>
        <v>0.3391549413321347</v>
      </c>
      <c r="D160" s="1">
        <f t="shared" si="75"/>
        <v>0.29379367180363036</v>
      </c>
      <c r="E160" s="1">
        <f t="shared" si="75"/>
        <v>0.19094441453863667</v>
      </c>
      <c r="F160" s="6">
        <f t="shared" si="75"/>
        <v>0.27178523122127068</v>
      </c>
      <c r="G160" s="14">
        <f t="shared" si="73"/>
        <v>1.0956782588956724</v>
      </c>
      <c r="H160" s="34"/>
      <c r="I160" s="35"/>
      <c r="J160" s="29"/>
    </row>
    <row r="161" spans="1:10" ht="15" thickBot="1" x14ac:dyDescent="0.35">
      <c r="A161" s="38" t="s">
        <v>16</v>
      </c>
      <c r="B161" s="2" t="s">
        <v>0</v>
      </c>
      <c r="C161" s="4">
        <f>C144/SUM(C$144:C$147)</f>
        <v>7.9637532608676578E-2</v>
      </c>
      <c r="D161" s="13">
        <f t="shared" ref="D161:F161" si="76">D144/SUM(D$144:D$147)</f>
        <v>5.1974372663637615E-2</v>
      </c>
      <c r="E161" s="13">
        <f t="shared" si="76"/>
        <v>7.3176949209162179E-2</v>
      </c>
      <c r="F161" s="14">
        <f t="shared" si="76"/>
        <v>9.9300764230014132E-2</v>
      </c>
      <c r="G161" s="14">
        <f t="shared" si="73"/>
        <v>0.30408961871149054</v>
      </c>
      <c r="H161" s="34"/>
      <c r="I161" s="35"/>
      <c r="J161" s="29"/>
    </row>
    <row r="162" spans="1:10" ht="15" thickBot="1" x14ac:dyDescent="0.35">
      <c r="A162" s="39"/>
      <c r="B162" s="2" t="s">
        <v>38</v>
      </c>
      <c r="C162" s="5">
        <f t="shared" ref="C162:F162" si="77">C145/SUM(C$144:C$147)</f>
        <v>0.23891259782602969</v>
      </c>
      <c r="D162" s="1">
        <f t="shared" si="77"/>
        <v>0.15592311799091282</v>
      </c>
      <c r="E162" s="1">
        <f t="shared" si="77"/>
        <v>0.12513082299884964</v>
      </c>
      <c r="F162" s="6">
        <f t="shared" si="77"/>
        <v>0.16550127371669018</v>
      </c>
      <c r="G162" s="14">
        <f t="shared" si="73"/>
        <v>0.68546781253248235</v>
      </c>
      <c r="H162" s="34"/>
      <c r="I162" s="35"/>
      <c r="J162" s="29"/>
    </row>
    <row r="163" spans="1:10" ht="15" thickBot="1" x14ac:dyDescent="0.35">
      <c r="A163" s="39"/>
      <c r="B163" s="2" t="s">
        <v>39</v>
      </c>
      <c r="C163" s="5">
        <f t="shared" ref="C163:F163" si="78">C146/SUM(C$144:C$147)</f>
        <v>0.28326220652191075</v>
      </c>
      <c r="D163" s="1">
        <f t="shared" si="78"/>
        <v>0.32433315537271107</v>
      </c>
      <c r="E163" s="1">
        <f t="shared" si="78"/>
        <v>0.2602826006850783</v>
      </c>
      <c r="F163" s="6">
        <f t="shared" si="78"/>
        <v>0.23869414090322516</v>
      </c>
      <c r="G163" s="14">
        <f t="shared" si="73"/>
        <v>1.1065721034829252</v>
      </c>
      <c r="H163" s="34"/>
      <c r="I163" s="35"/>
      <c r="J163" s="29"/>
    </row>
    <row r="164" spans="1:10" ht="15" thickBot="1" x14ac:dyDescent="0.35">
      <c r="A164" s="40"/>
      <c r="B164" s="2" t="s">
        <v>40</v>
      </c>
      <c r="C164" s="5">
        <f t="shared" ref="C164:F164" si="79">C147/SUM(C$144:C$147)</f>
        <v>0.39818766304338293</v>
      </c>
      <c r="D164" s="1">
        <f t="shared" si="79"/>
        <v>0.46776935397273844</v>
      </c>
      <c r="E164" s="1">
        <f t="shared" si="79"/>
        <v>0.54140962710690987</v>
      </c>
      <c r="F164" s="6">
        <f t="shared" si="79"/>
        <v>0.49650382115007047</v>
      </c>
      <c r="G164" s="14">
        <f t="shared" si="73"/>
        <v>1.9038704652731018</v>
      </c>
      <c r="H164" s="34"/>
      <c r="I164" s="35"/>
      <c r="J164" s="29"/>
    </row>
    <row r="165" spans="1:10" ht="15" thickBot="1" x14ac:dyDescent="0.35">
      <c r="A165" s="38" t="s">
        <v>17</v>
      </c>
      <c r="B165" s="2" t="s">
        <v>0</v>
      </c>
      <c r="C165" s="4">
        <f>C148/SUM(C$148:C$151)</f>
        <v>0.59659090909090895</v>
      </c>
      <c r="D165" s="13">
        <f t="shared" ref="D165:F165" si="80">D148/SUM(D$148:D$151)</f>
        <v>0.65638913654001263</v>
      </c>
      <c r="E165" s="13">
        <f t="shared" si="80"/>
        <v>0.47391133907764688</v>
      </c>
      <c r="F165" s="14">
        <f t="shared" si="80"/>
        <v>0.49999999999999994</v>
      </c>
      <c r="G165" s="14">
        <f t="shared" si="73"/>
        <v>2.2268913847085683</v>
      </c>
      <c r="H165" s="34"/>
      <c r="I165" s="35"/>
      <c r="J165" s="29"/>
    </row>
    <row r="166" spans="1:10" ht="15" thickBot="1" x14ac:dyDescent="0.35">
      <c r="A166" s="39"/>
      <c r="B166" s="2" t="s">
        <v>38</v>
      </c>
      <c r="C166" s="5">
        <f t="shared" ref="C166:F166" si="81">C149/SUM(C$148:C$151)</f>
        <v>0.19886363636363635</v>
      </c>
      <c r="D166" s="1">
        <f t="shared" si="81"/>
        <v>0.21879637884667089</v>
      </c>
      <c r="E166" s="1">
        <f t="shared" si="81"/>
        <v>0.39971230383498058</v>
      </c>
      <c r="F166" s="6">
        <f t="shared" si="81"/>
        <v>0.21428571428571427</v>
      </c>
      <c r="G166" s="14">
        <f t="shared" si="73"/>
        <v>1.0316580333310021</v>
      </c>
      <c r="H166" s="34"/>
      <c r="I166" s="35"/>
      <c r="J166" s="29"/>
    </row>
    <row r="167" spans="1:10" ht="15" thickBot="1" x14ac:dyDescent="0.35">
      <c r="A167" s="39"/>
      <c r="B167" s="2" t="s">
        <v>39</v>
      </c>
      <c r="C167" s="5">
        <f t="shared" ref="C167:F167" si="82">C150/SUM(C$148:C$151)</f>
        <v>0.11931818181818184</v>
      </c>
      <c r="D167" s="1">
        <f t="shared" si="82"/>
        <v>5.1882358331093004E-2</v>
      </c>
      <c r="E167" s="1">
        <f t="shared" si="82"/>
        <v>9.4782267815529356E-2</v>
      </c>
      <c r="F167" s="6">
        <f t="shared" si="82"/>
        <v>0.21428571428571427</v>
      </c>
      <c r="G167" s="14">
        <f t="shared" si="73"/>
        <v>0.48026852225051841</v>
      </c>
      <c r="H167" s="34"/>
      <c r="I167" s="35"/>
      <c r="J167" s="29"/>
    </row>
    <row r="168" spans="1:10" ht="15" thickBot="1" x14ac:dyDescent="0.35">
      <c r="A168" s="40"/>
      <c r="B168" s="2" t="s">
        <v>40</v>
      </c>
      <c r="C168" s="5">
        <f t="shared" ref="C168:F168" si="83">C151/SUM(C$148:C$151)</f>
        <v>8.5227272727272707E-2</v>
      </c>
      <c r="D168" s="1">
        <f t="shared" si="83"/>
        <v>7.2932126282223633E-2</v>
      </c>
      <c r="E168" s="1">
        <f t="shared" si="83"/>
        <v>3.1594089271843123E-2</v>
      </c>
      <c r="F168" s="6">
        <f t="shared" si="83"/>
        <v>7.1428571428571438E-2</v>
      </c>
      <c r="G168" s="14">
        <f t="shared" si="73"/>
        <v>0.26118205970991087</v>
      </c>
      <c r="H168" s="34"/>
      <c r="I168" s="35"/>
      <c r="J168" s="29"/>
    </row>
    <row r="169" spans="1:10" ht="15" thickBot="1" x14ac:dyDescent="0.35">
      <c r="A169" s="38" t="s">
        <v>18</v>
      </c>
      <c r="B169" s="2" t="s">
        <v>0</v>
      </c>
      <c r="C169" s="4">
        <f>C152/SUM(C$152:C$155)</f>
        <v>0.57692307692307676</v>
      </c>
      <c r="D169" s="13">
        <f t="shared" ref="D169:F169" si="84">D152/SUM(D$152:D$155)</f>
        <v>0.38994659070566234</v>
      </c>
      <c r="E169" s="13">
        <f t="shared" si="84"/>
        <v>0.5046192011759798</v>
      </c>
      <c r="F169" s="14">
        <f t="shared" si="84"/>
        <v>0.74197038172243635</v>
      </c>
      <c r="G169" s="14">
        <f t="shared" si="73"/>
        <v>2.2134592505271553</v>
      </c>
      <c r="H169" s="34"/>
      <c r="I169" s="35"/>
      <c r="J169" s="29"/>
    </row>
    <row r="170" spans="1:10" ht="15" thickBot="1" x14ac:dyDescent="0.35">
      <c r="A170" s="39"/>
      <c r="B170" s="2" t="s">
        <v>38</v>
      </c>
      <c r="C170" s="5">
        <f t="shared" ref="C170:F170" si="85">C153/SUM(C$152:C$155)</f>
        <v>0.19230769230769226</v>
      </c>
      <c r="D170" s="1">
        <f t="shared" si="85"/>
        <v>0.12998219690188748</v>
      </c>
      <c r="E170" s="1">
        <f t="shared" si="85"/>
        <v>0.14555736521298487</v>
      </c>
      <c r="F170" s="6">
        <f t="shared" si="85"/>
        <v>4.9464692114829081E-2</v>
      </c>
      <c r="G170" s="14">
        <f t="shared" si="73"/>
        <v>0.51731194653739365</v>
      </c>
      <c r="H170" s="34"/>
      <c r="I170" s="35"/>
      <c r="J170" s="29"/>
    </row>
    <row r="171" spans="1:10" ht="15" thickBot="1" x14ac:dyDescent="0.35">
      <c r="A171" s="39"/>
      <c r="B171" s="2" t="s">
        <v>39</v>
      </c>
      <c r="C171" s="5">
        <f t="shared" ref="C171:F171" si="86">C154/SUM(C$152:C$155)</f>
        <v>0.11538461538461539</v>
      </c>
      <c r="D171" s="1">
        <f t="shared" si="86"/>
        <v>9.0124621686787809E-2</v>
      </c>
      <c r="E171" s="1">
        <f t="shared" si="86"/>
        <v>0.10092384023519593</v>
      </c>
      <c r="F171" s="6">
        <f t="shared" si="86"/>
        <v>6.0170849818247447E-2</v>
      </c>
      <c r="G171" s="14">
        <f t="shared" si="73"/>
        <v>0.36660392712484657</v>
      </c>
      <c r="H171" s="34"/>
      <c r="I171" s="35"/>
      <c r="J171" s="29"/>
    </row>
    <row r="172" spans="1:10" ht="15" thickBot="1" x14ac:dyDescent="0.35">
      <c r="A172" s="40"/>
      <c r="B172" s="2" t="s">
        <v>40</v>
      </c>
      <c r="C172" s="7">
        <f t="shared" ref="C172:F172" si="87">C155/SUM(C$152:C$155)</f>
        <v>0.11538461538461539</v>
      </c>
      <c r="D172" s="8">
        <f t="shared" si="87"/>
        <v>0.38994659070566234</v>
      </c>
      <c r="E172" s="8">
        <f t="shared" si="87"/>
        <v>0.24889959337583956</v>
      </c>
      <c r="F172" s="9">
        <f t="shared" si="87"/>
        <v>0.14839407634448723</v>
      </c>
      <c r="G172" s="3">
        <f t="shared" si="73"/>
        <v>0.90262487581060447</v>
      </c>
      <c r="H172" s="36"/>
      <c r="I172" s="37"/>
      <c r="J172" s="29"/>
    </row>
    <row r="173" spans="1:10" ht="15" thickBot="1" x14ac:dyDescent="0.35">
      <c r="J173" s="29"/>
    </row>
    <row r="174" spans="1:10" ht="15" thickBot="1" x14ac:dyDescent="0.35">
      <c r="A174" s="26" t="s">
        <v>43</v>
      </c>
      <c r="B174" s="27"/>
      <c r="C174" s="27"/>
      <c r="D174" s="27"/>
      <c r="E174" s="27"/>
      <c r="F174" s="27"/>
      <c r="G174" s="31"/>
      <c r="J174" s="29"/>
    </row>
    <row r="175" spans="1:10" ht="15" thickBot="1" x14ac:dyDescent="0.35">
      <c r="A175" s="12"/>
      <c r="B175" s="12" t="s">
        <v>32</v>
      </c>
      <c r="C175" s="12" t="s">
        <v>33</v>
      </c>
      <c r="D175" s="12" t="s">
        <v>34</v>
      </c>
      <c r="E175" s="12" t="s">
        <v>35</v>
      </c>
      <c r="F175" s="12" t="s">
        <v>14</v>
      </c>
      <c r="G175" s="10" t="s">
        <v>30</v>
      </c>
      <c r="J175" s="29"/>
    </row>
    <row r="176" spans="1:10" ht="15" thickBot="1" x14ac:dyDescent="0.35">
      <c r="A176" s="11" t="s">
        <v>0</v>
      </c>
      <c r="B176" s="4">
        <f>G157</f>
        <v>0.33138912689270483</v>
      </c>
      <c r="C176" s="13">
        <f>G161</f>
        <v>0.30408961871149054</v>
      </c>
      <c r="D176" s="13">
        <f>G165</f>
        <v>2.2268913847085683</v>
      </c>
      <c r="E176" s="14">
        <f>G169</f>
        <v>2.2134592505271553</v>
      </c>
      <c r="F176" s="10">
        <f>MMULT(B176:E176,$H$82:$H$85)</f>
        <v>1.5369406117874471</v>
      </c>
      <c r="G176" s="10">
        <f>RANK(F176,F$176:F$179)</f>
        <v>1</v>
      </c>
      <c r="J176" s="29"/>
    </row>
    <row r="177" spans="1:10" ht="15" thickBot="1" x14ac:dyDescent="0.35">
      <c r="A177" s="10" t="s">
        <v>38</v>
      </c>
      <c r="B177" s="5">
        <f t="shared" ref="B177:B179" si="88">G158</f>
        <v>1.6298067614803069</v>
      </c>
      <c r="C177" s="1">
        <f t="shared" ref="C177:C179" si="89">G162</f>
        <v>0.68546781253248235</v>
      </c>
      <c r="D177" s="1">
        <f t="shared" ref="D177:D179" si="90">G166</f>
        <v>1.0316580333310021</v>
      </c>
      <c r="E177" s="6">
        <f t="shared" ref="E177:E179" si="91">G170</f>
        <v>0.51731194653739365</v>
      </c>
      <c r="F177" s="10">
        <f t="shared" ref="F177:F179" si="92">MMULT(B177:E177,$H$82:$H$85)</f>
        <v>1.1220866915496259</v>
      </c>
      <c r="G177" s="10">
        <f t="shared" ref="G177:G179" si="93">RANK(F177,F$176:F$179)</f>
        <v>2</v>
      </c>
      <c r="J177" s="29"/>
    </row>
    <row r="178" spans="1:10" ht="15" thickBot="1" x14ac:dyDescent="0.35">
      <c r="A178" s="10" t="s">
        <v>39</v>
      </c>
      <c r="B178" s="5">
        <f t="shared" si="88"/>
        <v>0.94312585273131599</v>
      </c>
      <c r="C178" s="1">
        <f t="shared" si="89"/>
        <v>1.1065721034829252</v>
      </c>
      <c r="D178" s="1">
        <f t="shared" si="90"/>
        <v>0.48026852225051841</v>
      </c>
      <c r="E178" s="6">
        <f t="shared" si="91"/>
        <v>0.36660392712484657</v>
      </c>
      <c r="F178" s="10">
        <f t="shared" si="92"/>
        <v>0.65580141762637323</v>
      </c>
      <c r="G178" s="10">
        <f t="shared" si="93"/>
        <v>4</v>
      </c>
      <c r="J178" s="29"/>
    </row>
    <row r="179" spans="1:10" ht="15" thickBot="1" x14ac:dyDescent="0.35">
      <c r="A179" s="12" t="s">
        <v>40</v>
      </c>
      <c r="B179" s="7">
        <f t="shared" si="88"/>
        <v>1.0956782588956724</v>
      </c>
      <c r="C179" s="8">
        <f t="shared" si="89"/>
        <v>1.9038704652731018</v>
      </c>
      <c r="D179" s="8">
        <f t="shared" si="90"/>
        <v>0.26118205970991087</v>
      </c>
      <c r="E179" s="9">
        <f t="shared" si="91"/>
        <v>0.90262487581060447</v>
      </c>
      <c r="F179" s="10">
        <f t="shared" si="92"/>
        <v>0.6851712790365535</v>
      </c>
      <c r="G179" s="10">
        <f t="shared" si="93"/>
        <v>3</v>
      </c>
      <c r="J179" s="30"/>
    </row>
  </sheetData>
  <mergeCells count="118">
    <mergeCell ref="N4:N7"/>
    <mergeCell ref="N8:N11"/>
    <mergeCell ref="N12:N15"/>
    <mergeCell ref="A33:A35"/>
    <mergeCell ref="B33:M33"/>
    <mergeCell ref="B34:D34"/>
    <mergeCell ref="E34:G34"/>
    <mergeCell ref="H34:J34"/>
    <mergeCell ref="K34:M34"/>
    <mergeCell ref="B26:M26"/>
    <mergeCell ref="B27:D27"/>
    <mergeCell ref="A26:A28"/>
    <mergeCell ref="E27:G27"/>
    <mergeCell ref="H27:J27"/>
    <mergeCell ref="K27:M27"/>
    <mergeCell ref="N26:N78"/>
    <mergeCell ref="A59:A62"/>
    <mergeCell ref="B55:D55"/>
    <mergeCell ref="B56:D56"/>
    <mergeCell ref="B57:D57"/>
    <mergeCell ref="B58:D58"/>
    <mergeCell ref="B60:D60"/>
    <mergeCell ref="B61:D61"/>
    <mergeCell ref="B62:D62"/>
    <mergeCell ref="A1:A3"/>
    <mergeCell ref="A20:B20"/>
    <mergeCell ref="B1:M1"/>
    <mergeCell ref="B2:D2"/>
    <mergeCell ref="E2:G2"/>
    <mergeCell ref="H2:J2"/>
    <mergeCell ref="K2:M2"/>
    <mergeCell ref="A47:A50"/>
    <mergeCell ref="A51:A54"/>
    <mergeCell ref="A40:A42"/>
    <mergeCell ref="B40:M40"/>
    <mergeCell ref="B41:D41"/>
    <mergeCell ref="E41:G41"/>
    <mergeCell ref="H41:J41"/>
    <mergeCell ref="K41:M41"/>
    <mergeCell ref="E55:G55"/>
    <mergeCell ref="E56:G56"/>
    <mergeCell ref="E57:G57"/>
    <mergeCell ref="E58:G58"/>
    <mergeCell ref="H55:J55"/>
    <mergeCell ref="H56:J56"/>
    <mergeCell ref="H57:J57"/>
    <mergeCell ref="H58:J58"/>
    <mergeCell ref="A55:A58"/>
    <mergeCell ref="H81:I81"/>
    <mergeCell ref="A80:I80"/>
    <mergeCell ref="H82:I82"/>
    <mergeCell ref="B73:D73"/>
    <mergeCell ref="H83:I83"/>
    <mergeCell ref="K60:M60"/>
    <mergeCell ref="K61:M61"/>
    <mergeCell ref="K62:M62"/>
    <mergeCell ref="B63:D63"/>
    <mergeCell ref="E60:G60"/>
    <mergeCell ref="E61:G61"/>
    <mergeCell ref="E62:G62"/>
    <mergeCell ref="H59:J59"/>
    <mergeCell ref="H60:J60"/>
    <mergeCell ref="H61:J61"/>
    <mergeCell ref="H62:J62"/>
    <mergeCell ref="K55:M55"/>
    <mergeCell ref="K56:M56"/>
    <mergeCell ref="K57:M57"/>
    <mergeCell ref="K58:M58"/>
    <mergeCell ref="B59:D59"/>
    <mergeCell ref="E59:G59"/>
    <mergeCell ref="K59:M59"/>
    <mergeCell ref="A63:A66"/>
    <mergeCell ref="B64:D64"/>
    <mergeCell ref="B65:D65"/>
    <mergeCell ref="B66:D66"/>
    <mergeCell ref="A67:A70"/>
    <mergeCell ref="B67:D67"/>
    <mergeCell ref="B68:D68"/>
    <mergeCell ref="B69:D69"/>
    <mergeCell ref="B70:D70"/>
    <mergeCell ref="A110:A113"/>
    <mergeCell ref="A114:A117"/>
    <mergeCell ref="A118:A121"/>
    <mergeCell ref="A89:A92"/>
    <mergeCell ref="A93:A96"/>
    <mergeCell ref="A71:A74"/>
    <mergeCell ref="B71:D71"/>
    <mergeCell ref="B72:D72"/>
    <mergeCell ref="B74:D74"/>
    <mergeCell ref="A75:A78"/>
    <mergeCell ref="B75:D75"/>
    <mergeCell ref="B76:D76"/>
    <mergeCell ref="B77:D77"/>
    <mergeCell ref="B78:D78"/>
    <mergeCell ref="H84:I84"/>
    <mergeCell ref="H85:I85"/>
    <mergeCell ref="J80:J179"/>
    <mergeCell ref="A174:G174"/>
    <mergeCell ref="H156:I172"/>
    <mergeCell ref="A157:A160"/>
    <mergeCell ref="A161:A164"/>
    <mergeCell ref="A165:A168"/>
    <mergeCell ref="A169:A172"/>
    <mergeCell ref="H139:I155"/>
    <mergeCell ref="A140:A143"/>
    <mergeCell ref="A144:A147"/>
    <mergeCell ref="A148:A151"/>
    <mergeCell ref="A152:A155"/>
    <mergeCell ref="H122:I138"/>
    <mergeCell ref="A123:A126"/>
    <mergeCell ref="A127:A130"/>
    <mergeCell ref="A131:A134"/>
    <mergeCell ref="A135:A138"/>
    <mergeCell ref="A97:A100"/>
    <mergeCell ref="A101:A104"/>
    <mergeCell ref="H88:I104"/>
    <mergeCell ref="H105:I121"/>
    <mergeCell ref="A106:A10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Михайлов</dc:creator>
  <cp:lastModifiedBy>Вадим Михайлов</cp:lastModifiedBy>
  <dcterms:created xsi:type="dcterms:W3CDTF">2015-06-05T18:19:34Z</dcterms:created>
  <dcterms:modified xsi:type="dcterms:W3CDTF">2025-12-28T18:06:32Z</dcterms:modified>
</cp:coreProperties>
</file>