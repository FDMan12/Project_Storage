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vdmms\Desktop\"/>
    </mc:Choice>
  </mc:AlternateContent>
  <xr:revisionPtr revIDLastSave="0" documentId="13_ncr:1_{2CF1BA22-F54C-4DC5-902A-981DA714B16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2" i="1" l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41" i="1"/>
  <c r="F41" i="1" s="1"/>
  <c r="E33" i="1"/>
  <c r="E34" i="1"/>
  <c r="E35" i="1"/>
  <c r="E36" i="1"/>
  <c r="E37" i="1"/>
  <c r="E38" i="1"/>
  <c r="E32" i="1"/>
  <c r="E21" i="1"/>
  <c r="E22" i="1"/>
  <c r="E23" i="1"/>
  <c r="E24" i="1"/>
  <c r="E25" i="1"/>
  <c r="E26" i="1"/>
  <c r="E27" i="1"/>
  <c r="E28" i="1"/>
  <c r="E29" i="1"/>
  <c r="E20" i="1"/>
  <c r="G12" i="1"/>
  <c r="G13" i="1"/>
  <c r="G10" i="1"/>
  <c r="G3" i="1"/>
  <c r="G4" i="1"/>
  <c r="G5" i="1"/>
  <c r="G6" i="1"/>
  <c r="G7" i="1"/>
  <c r="G8" i="1"/>
  <c r="G9" i="1"/>
  <c r="G11" i="1"/>
  <c r="G2" i="1"/>
</calcChain>
</file>

<file path=xl/sharedStrings.xml><?xml version="1.0" encoding="utf-8"?>
<sst xmlns="http://schemas.openxmlformats.org/spreadsheetml/2006/main" count="103" uniqueCount="87">
  <si>
    <t>UseCase1</t>
  </si>
  <si>
    <t>UseCase2</t>
  </si>
  <si>
    <t>UseCase3</t>
  </si>
  <si>
    <t>UseCase4</t>
  </si>
  <si>
    <t>UseCase5</t>
  </si>
  <si>
    <t>UseCase6</t>
  </si>
  <si>
    <t>UseCase7</t>
  </si>
  <si>
    <t>UseCase8</t>
  </si>
  <si>
    <t>UseCase9</t>
  </si>
  <si>
    <t>UseCase10</t>
  </si>
  <si>
    <t>UseCase11</t>
  </si>
  <si>
    <t>UseCase12</t>
  </si>
  <si>
    <t>№ UseCase</t>
  </si>
  <si>
    <t>Название</t>
  </si>
  <si>
    <t>Авторизация</t>
  </si>
  <si>
    <t>Прием товара</t>
  </si>
  <si>
    <t>Размещение товара</t>
  </si>
  <si>
    <t>Перемещение товара</t>
  </si>
  <si>
    <t>Отгрузка товара</t>
  </si>
  <si>
    <t>Формирование отчета</t>
  </si>
  <si>
    <t>Оформление заказа</t>
  </si>
  <si>
    <t>Выдача заказа</t>
  </si>
  <si>
    <t>Возврат товара</t>
  </si>
  <si>
    <t>Просмотр количества</t>
  </si>
  <si>
    <t>Инвентаризация</t>
  </si>
  <si>
    <t>Блокировка товара</t>
  </si>
  <si>
    <t>E</t>
  </si>
  <si>
    <t>X</t>
  </si>
  <si>
    <t>R</t>
  </si>
  <si>
    <t>W</t>
  </si>
  <si>
    <t>FP</t>
  </si>
  <si>
    <t>COSMIC</t>
  </si>
  <si>
    <t>Количество транзакций</t>
  </si>
  <si>
    <t>Ввод</t>
  </si>
  <si>
    <t>Чтение</t>
  </si>
  <si>
    <t>Вывод</t>
  </si>
  <si>
    <t>Запись</t>
  </si>
  <si>
    <t>Общее</t>
  </si>
  <si>
    <t>8&gt; большой</t>
  </si>
  <si>
    <t>5-7 средний</t>
  </si>
  <si>
    <t>1-4 малый</t>
  </si>
  <si>
    <t>TCF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</si>
  <si>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</si>
  <si>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</si>
  <si>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</si>
  <si>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</si>
  <si>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</si>
  <si>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</si>
  <si>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</si>
  <si>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</si>
  <si>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</si>
  <si>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</si>
  <si>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Распределенность системы</t>
  </si>
  <si>
    <t>Производительность</t>
  </si>
  <si>
    <t>Интенсивность использования</t>
  </si>
  <si>
    <t>Сложность обработки данных</t>
  </si>
  <si>
    <t>Надежность</t>
  </si>
  <si>
    <t>Безопасность</t>
  </si>
  <si>
    <t>Интегрируемость</t>
  </si>
  <si>
    <t>Сложность пользовательского интерфейса</t>
  </si>
  <si>
    <t>Повторное использование компонентов</t>
  </si>
  <si>
    <t>Сложность развертывания</t>
  </si>
  <si>
    <t>Вес</t>
  </si>
  <si>
    <t>Оценка</t>
  </si>
  <si>
    <t>Значение</t>
  </si>
  <si>
    <t>ECF</t>
  </si>
  <si>
    <t>Оценки</t>
  </si>
  <si>
    <t>E1</t>
  </si>
  <si>
    <t>E2</t>
  </si>
  <si>
    <t>E3</t>
  </si>
  <si>
    <t>E4</t>
  </si>
  <si>
    <t>E5</t>
  </si>
  <si>
    <t>E6</t>
  </si>
  <si>
    <t>E7</t>
  </si>
  <si>
    <t>Опыт команды в предметной области</t>
  </si>
  <si>
    <t>Опыт команды в используемых технологиях</t>
  </si>
  <si>
    <t>Стабильность требований</t>
  </si>
  <si>
    <t>Уровень мотивации</t>
  </si>
  <si>
    <t>Ограничения по срокам</t>
  </si>
  <si>
    <t>Качество коммуникации и управления</t>
  </si>
  <si>
    <t>Наличие инструментов и среды разработки</t>
  </si>
  <si>
    <t>UseCase</t>
  </si>
  <si>
    <t>Вадим</t>
  </si>
  <si>
    <t>Рома</t>
  </si>
  <si>
    <t>Игнат</t>
  </si>
  <si>
    <t>Медиана</t>
  </si>
  <si>
    <t>Часы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</si>
</sst>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49" fontId="0" fillId="0" borderId="9" xfId="0" applyNumberFormat="1" applyBorder="1" applyAlignment="1">
      <alignment horizontal="center" vertical="center" wrapText="1"/>
    </xf>
    <xf numFmtId="49" fontId="0" fillId="0" borderId="10" xfId="0" applyNumberFormat="1" applyBorder="1" applyAlignment="1">
      <alignment horizontal="center" vertical="center" wrapText="1"/>
    </xf>
    <xf numFmtId="49" fontId="0" fillId="0" borderId="11" xfId="0" applyNumberFormat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workbookViewId="0">
      <selection activeCell="H48" sqref="H48"/>
    </sheetView>
  </sheetViews>
  <sheetFormatPr defaultRowHeight="14.4" x14ac:dyDescent="0.3"/>
  <cols>
    <col min="1" max="1" width="13.77734375" style="1" customWidth="1"/>
    <col min="2" max="2" width="20" style="1" customWidth="1"/>
    <col min="3" max="7" width="8.88671875" style="1"/>
    <col min="8" max="8" width="24.33203125" style="1" customWidth="1"/>
    <col min="9" max="16384" width="8.88671875" style="1"/>
  </cols>
  <sheetData>
    <row r="1" spans="1:8" x14ac:dyDescent="0.3">
      <c r="A1" s="2" t="s">
        <v>12</v>
      </c>
      <c r="B1" s="3" t="s">
        <v>13</v>
      </c>
      <c r="C1" s="3" t="s">
        <v>26</v>
      </c>
      <c r="D1" s="3" t="s">
        <v>28</v>
      </c>
      <c r="E1" s="3" t="s">
        <v>27</v>
      </c>
      <c r="F1" s="3" t="s">
        <v>29</v>
      </c>
      <c r="G1" s="4" t="s">
        <v>30</v>
      </c>
      <c r="H1" s="16" t="s">
        <v>32</v>
      </c>
    </row>
    <row r="2" spans="1:8" x14ac:dyDescent="0.3">
      <c r="A2" s="5" t="s">
        <v>0</v>
      </c>
      <c r="B2" s="6" t="s">
        <v>14</v>
      </c>
      <c r="C2" s="6">
        <v>1</v>
      </c>
      <c r="D2" s="6">
        <v>1</v>
      </c>
      <c r="E2" s="6">
        <v>1</v>
      </c>
      <c r="F2" s="6">
        <v>0</v>
      </c>
      <c r="G2" s="7">
        <f>SUM(C2:F2)</f>
        <v>3</v>
      </c>
      <c r="H2" s="17">
        <v>5</v>
      </c>
    </row>
    <row r="3" spans="1:8" x14ac:dyDescent="0.3">
      <c r="A3" s="5" t="s">
        <v>1</v>
      </c>
      <c r="B3" s="6" t="s">
        <v>15</v>
      </c>
      <c r="C3" s="6">
        <v>2</v>
      </c>
      <c r="D3" s="6">
        <v>1</v>
      </c>
      <c r="E3" s="6">
        <v>2</v>
      </c>
      <c r="F3" s="6">
        <v>2</v>
      </c>
      <c r="G3" s="7">
        <f t="shared" ref="G3:G10" si="0">SUM(C3:F3)</f>
        <v>7</v>
      </c>
      <c r="H3" s="17">
        <v>10</v>
      </c>
    </row>
    <row r="4" spans="1:8" x14ac:dyDescent="0.3">
      <c r="A4" s="5" t="s">
        <v>2</v>
      </c>
      <c r="B4" s="6" t="s">
        <v>16</v>
      </c>
      <c r="C4" s="6">
        <v>2</v>
      </c>
      <c r="D4" s="6">
        <v>1</v>
      </c>
      <c r="E4" s="6">
        <v>2</v>
      </c>
      <c r="F4" s="6">
        <v>1</v>
      </c>
      <c r="G4" s="7">
        <f t="shared" si="0"/>
        <v>6</v>
      </c>
      <c r="H4" s="17">
        <v>10</v>
      </c>
    </row>
    <row r="5" spans="1:8" x14ac:dyDescent="0.3">
      <c r="A5" s="5" t="s">
        <v>3</v>
      </c>
      <c r="B5" s="6" t="s">
        <v>17</v>
      </c>
      <c r="C5" s="6">
        <v>2</v>
      </c>
      <c r="D5" s="6">
        <v>1</v>
      </c>
      <c r="E5" s="6">
        <v>2</v>
      </c>
      <c r="F5" s="6">
        <v>1</v>
      </c>
      <c r="G5" s="7">
        <f t="shared" si="0"/>
        <v>6</v>
      </c>
      <c r="H5" s="17">
        <v>10</v>
      </c>
    </row>
    <row r="6" spans="1:8" x14ac:dyDescent="0.3">
      <c r="A6" s="5" t="s">
        <v>4</v>
      </c>
      <c r="B6" s="6" t="s">
        <v>18</v>
      </c>
      <c r="C6" s="6">
        <v>2</v>
      </c>
      <c r="D6" s="6">
        <v>1</v>
      </c>
      <c r="E6" s="6">
        <v>2</v>
      </c>
      <c r="F6" s="6">
        <v>2</v>
      </c>
      <c r="G6" s="7">
        <f t="shared" si="0"/>
        <v>7</v>
      </c>
      <c r="H6" s="17">
        <v>10</v>
      </c>
    </row>
    <row r="7" spans="1:8" x14ac:dyDescent="0.3">
      <c r="A7" s="5" t="s">
        <v>5</v>
      </c>
      <c r="B7" s="6" t="s">
        <v>23</v>
      </c>
      <c r="C7" s="6">
        <v>2</v>
      </c>
      <c r="D7" s="6">
        <v>2</v>
      </c>
      <c r="E7" s="6">
        <v>2</v>
      </c>
      <c r="F7" s="6">
        <v>0</v>
      </c>
      <c r="G7" s="7">
        <f t="shared" si="0"/>
        <v>6</v>
      </c>
      <c r="H7" s="17">
        <v>10</v>
      </c>
    </row>
    <row r="8" spans="1:8" x14ac:dyDescent="0.3">
      <c r="A8" s="5" t="s">
        <v>6</v>
      </c>
      <c r="B8" s="6" t="s">
        <v>24</v>
      </c>
      <c r="C8" s="6">
        <v>2</v>
      </c>
      <c r="D8" s="6">
        <v>2</v>
      </c>
      <c r="E8" s="6">
        <v>2</v>
      </c>
      <c r="F8" s="6">
        <v>1</v>
      </c>
      <c r="G8" s="7">
        <f t="shared" si="0"/>
        <v>7</v>
      </c>
      <c r="H8" s="17">
        <v>10</v>
      </c>
    </row>
    <row r="9" spans="1:8" ht="28.8" x14ac:dyDescent="0.3">
      <c r="A9" s="5" t="s">
        <v>7</v>
      </c>
      <c r="B9" s="6" t="s">
        <v>19</v>
      </c>
      <c r="C9" s="6">
        <v>2</v>
      </c>
      <c r="D9" s="6">
        <v>3</v>
      </c>
      <c r="E9" s="6">
        <v>2</v>
      </c>
      <c r="F9" s="6">
        <v>0</v>
      </c>
      <c r="G9" s="7">
        <f t="shared" si="0"/>
        <v>7</v>
      </c>
      <c r="H9" s="17">
        <v>10</v>
      </c>
    </row>
    <row r="10" spans="1:8" x14ac:dyDescent="0.3">
      <c r="A10" s="5" t="s">
        <v>8</v>
      </c>
      <c r="B10" s="6" t="s">
        <v>25</v>
      </c>
      <c r="C10" s="6">
        <v>3</v>
      </c>
      <c r="D10" s="6">
        <v>2</v>
      </c>
      <c r="E10" s="6">
        <v>1</v>
      </c>
      <c r="F10" s="6">
        <v>2</v>
      </c>
      <c r="G10" s="7">
        <f t="shared" si="0"/>
        <v>8</v>
      </c>
      <c r="H10" s="17">
        <v>15</v>
      </c>
    </row>
    <row r="11" spans="1:8" x14ac:dyDescent="0.3">
      <c r="A11" s="5" t="s">
        <v>9</v>
      </c>
      <c r="B11" s="6" t="s">
        <v>20</v>
      </c>
      <c r="C11" s="6">
        <v>2</v>
      </c>
      <c r="D11" s="6">
        <v>2</v>
      </c>
      <c r="E11" s="6">
        <v>2</v>
      </c>
      <c r="F11" s="6">
        <v>1</v>
      </c>
      <c r="G11" s="7">
        <f>SUM(C11:F11)</f>
        <v>7</v>
      </c>
      <c r="H11" s="17">
        <v>10</v>
      </c>
    </row>
    <row r="12" spans="1:8" x14ac:dyDescent="0.3">
      <c r="A12" s="5" t="s">
        <v>10</v>
      </c>
      <c r="B12" s="6" t="s">
        <v>21</v>
      </c>
      <c r="C12" s="6">
        <v>3</v>
      </c>
      <c r="D12" s="6">
        <v>1</v>
      </c>
      <c r="E12" s="6">
        <v>3</v>
      </c>
      <c r="F12" s="6">
        <v>2</v>
      </c>
      <c r="G12" s="7">
        <f t="shared" ref="G12:G13" si="1">SUM(C12:F12)</f>
        <v>9</v>
      </c>
      <c r="H12" s="17">
        <v>15</v>
      </c>
    </row>
    <row r="13" spans="1:8" ht="15" thickBot="1" x14ac:dyDescent="0.35">
      <c r="A13" s="8" t="s">
        <v>11</v>
      </c>
      <c r="B13" s="9" t="s">
        <v>22</v>
      </c>
      <c r="C13" s="9">
        <v>4</v>
      </c>
      <c r="D13" s="9">
        <v>4</v>
      </c>
      <c r="E13" s="9">
        <v>4</v>
      </c>
      <c r="F13" s="9">
        <v>4</v>
      </c>
      <c r="G13" s="10">
        <f t="shared" si="1"/>
        <v>16</v>
      </c>
      <c r="H13" s="18">
        <v>15</v>
      </c>
    </row>
    <row r="14" spans="1:8" x14ac:dyDescent="0.3">
      <c r="C14" s="2" t="s">
        <v>33</v>
      </c>
      <c r="D14" s="3" t="s">
        <v>34</v>
      </c>
      <c r="E14" s="3" t="s">
        <v>35</v>
      </c>
      <c r="F14" s="3" t="s">
        <v>36</v>
      </c>
      <c r="G14" s="3" t="s">
        <v>37</v>
      </c>
      <c r="H14" s="13" t="s">
        <v>40</v>
      </c>
    </row>
    <row r="15" spans="1:8" ht="15" thickBot="1" x14ac:dyDescent="0.35">
      <c r="C15" s="11" t="s">
        <v>31</v>
      </c>
      <c r="D15" s="12"/>
      <c r="E15" s="12"/>
      <c r="F15" s="12"/>
      <c r="G15" s="12"/>
      <c r="H15" s="14" t="s">
        <v>39</v>
      </c>
    </row>
    <row r="16" spans="1:8" ht="15" thickBot="1" x14ac:dyDescent="0.35">
      <c r="H16" s="15" t="s">
        <v>38</v>
      </c>
    </row>
    <row r="18" spans="1:5" ht="15" thickBot="1" x14ac:dyDescent="0.35"/>
    <row r="19" spans="1:5" ht="28.8" x14ac:dyDescent="0.3">
      <c r="A19" s="2" t="s">
        <v>41</v>
      </c>
      <c r="B19" s="3" t="s">
        <v>13</v>
      </c>
      <c r="C19" s="3" t="s">
        <v>62</v>
      </c>
      <c r="D19" s="3" t="s">
        <v>63</v>
      </c>
      <c r="E19" s="4" t="s">
        <v>64</v>
      </c>
    </row>
    <row r="20" spans="1:5" ht="37.200000000000003" customHeight="1" x14ac:dyDescent="0.3">
      <c r="A20" s="5" t="s">
        <v>42</v>
      </c>
      <c r="B20" s="6" t="s">
        <v>52</v>
      </c>
      <c r="C20" s="6">
        <v>1</v>
      </c>
      <c r="D20" s="6">
        <v>3</v>
      </c>
      <c r="E20" s="7">
        <f>C20*D20</f>
        <v>3</v>
      </c>
    </row>
    <row r="21" spans="1:5" x14ac:dyDescent="0.3">
      <c r="A21" s="5" t="s">
        <v>43</v>
      </c>
      <c r="B21" s="6" t="s">
        <v>53</v>
      </c>
      <c r="C21" s="6">
        <v>2</v>
      </c>
      <c r="D21" s="6">
        <v>4</v>
      </c>
      <c r="E21" s="7">
        <f t="shared" ref="E21:E29" si="2">C21*D21</f>
        <v>8</v>
      </c>
    </row>
    <row r="22" spans="1:5" ht="28.8" x14ac:dyDescent="0.3">
      <c r="A22" s="5" t="s">
        <v>44</v>
      </c>
      <c r="B22" s="6" t="s">
        <v>54</v>
      </c>
      <c r="C22" s="6">
        <v>1</v>
      </c>
      <c r="D22" s="6">
        <v>3</v>
      </c>
      <c r="E22" s="7">
        <f t="shared" si="2"/>
        <v>3</v>
      </c>
    </row>
    <row r="23" spans="1:5" ht="28.8" x14ac:dyDescent="0.3">
      <c r="A23" s="5" t="s">
        <v>45</v>
      </c>
      <c r="B23" s="6" t="s">
        <v>55</v>
      </c>
      <c r="C23" s="6">
        <v>1</v>
      </c>
      <c r="D23" s="6">
        <v>4</v>
      </c>
      <c r="E23" s="7">
        <f t="shared" si="2"/>
        <v>4</v>
      </c>
    </row>
    <row r="24" spans="1:5" x14ac:dyDescent="0.3">
      <c r="A24" s="5" t="s">
        <v>46</v>
      </c>
      <c r="B24" s="6" t="s">
        <v>56</v>
      </c>
      <c r="C24" s="6">
        <v>2</v>
      </c>
      <c r="D24" s="6">
        <v>3</v>
      </c>
      <c r="E24" s="7">
        <f t="shared" si="2"/>
        <v>6</v>
      </c>
    </row>
    <row r="25" spans="1:5" x14ac:dyDescent="0.3">
      <c r="A25" s="5" t="s">
        <v>47</v>
      </c>
      <c r="B25" s="6" t="s">
        <v>57</v>
      </c>
      <c r="C25" s="6">
        <v>2</v>
      </c>
      <c r="D25" s="6">
        <v>4</v>
      </c>
      <c r="E25" s="7">
        <f t="shared" si="2"/>
        <v>8</v>
      </c>
    </row>
    <row r="26" spans="1:5" x14ac:dyDescent="0.3">
      <c r="A26" s="5" t="s">
        <v>48</v>
      </c>
      <c r="B26" s="6" t="s">
        <v>58</v>
      </c>
      <c r="C26" s="6">
        <v>0.5</v>
      </c>
      <c r="D26" s="6">
        <v>2</v>
      </c>
      <c r="E26" s="7">
        <f t="shared" si="2"/>
        <v>1</v>
      </c>
    </row>
    <row r="27" spans="1:5" ht="43.2" x14ac:dyDescent="0.3">
      <c r="A27" s="5" t="s">
        <v>49</v>
      </c>
      <c r="B27" s="6" t="s">
        <v>59</v>
      </c>
      <c r="C27" s="6">
        <v>1</v>
      </c>
      <c r="D27" s="6">
        <v>3</v>
      </c>
      <c r="E27" s="7">
        <f t="shared" si="2"/>
        <v>3</v>
      </c>
    </row>
    <row r="28" spans="1:5" ht="43.2" x14ac:dyDescent="0.3">
      <c r="A28" s="5" t="s">
        <v>50</v>
      </c>
      <c r="B28" s="6" t="s">
        <v>60</v>
      </c>
      <c r="C28" s="6">
        <v>0.5</v>
      </c>
      <c r="D28" s="6">
        <v>2</v>
      </c>
      <c r="E28" s="7">
        <f t="shared" si="2"/>
        <v>1</v>
      </c>
    </row>
    <row r="29" spans="1:5" ht="29.4" thickBot="1" x14ac:dyDescent="0.35">
      <c r="A29" s="8" t="s">
        <v>51</v>
      </c>
      <c r="B29" s="9" t="s">
        <v>61</v>
      </c>
      <c r="C29" s="9">
        <v>1</v>
      </c>
      <c r="D29" s="9">
        <v>3</v>
      </c>
      <c r="E29" s="10">
        <f t="shared" si="2"/>
        <v>3</v>
      </c>
    </row>
    <row r="30" spans="1:5" ht="15" thickBot="1" x14ac:dyDescent="0.35"/>
    <row r="31" spans="1:5" ht="28.8" x14ac:dyDescent="0.3">
      <c r="A31" s="2" t="s">
        <v>65</v>
      </c>
      <c r="B31" s="3" t="s">
        <v>13</v>
      </c>
      <c r="C31" s="3" t="s">
        <v>62</v>
      </c>
      <c r="D31" s="3" t="s">
        <v>66</v>
      </c>
      <c r="E31" s="4" t="s">
        <v>64</v>
      </c>
    </row>
    <row r="32" spans="1:5" ht="28.8" x14ac:dyDescent="0.3">
      <c r="A32" s="5" t="s">
        <v>67</v>
      </c>
      <c r="B32" s="6" t="s">
        <v>74</v>
      </c>
      <c r="C32" s="6">
        <v>2</v>
      </c>
      <c r="D32" s="6">
        <v>3</v>
      </c>
      <c r="E32" s="7">
        <f>C32*D32</f>
        <v>6</v>
      </c>
    </row>
    <row r="33" spans="1:6" ht="43.2" x14ac:dyDescent="0.3">
      <c r="A33" s="5" t="s">
        <v>68</v>
      </c>
      <c r="B33" s="6" t="s">
        <v>75</v>
      </c>
      <c r="C33" s="6">
        <v>2</v>
      </c>
      <c r="D33" s="6">
        <v>4</v>
      </c>
      <c r="E33" s="7">
        <f t="shared" ref="E33:E38" si="3">C33*D33</f>
        <v>8</v>
      </c>
    </row>
    <row r="34" spans="1:6" ht="28.8" x14ac:dyDescent="0.3">
      <c r="A34" s="5" t="s">
        <v>69</v>
      </c>
      <c r="B34" s="6" t="s">
        <v>76</v>
      </c>
      <c r="C34" s="6">
        <v>1</v>
      </c>
      <c r="D34" s="6">
        <v>3</v>
      </c>
      <c r="E34" s="7">
        <f t="shared" si="3"/>
        <v>3</v>
      </c>
    </row>
    <row r="35" spans="1:6" x14ac:dyDescent="0.3">
      <c r="A35" s="5" t="s">
        <v>70</v>
      </c>
      <c r="B35" s="6" t="s">
        <v>77</v>
      </c>
      <c r="C35" s="6">
        <v>1</v>
      </c>
      <c r="D35" s="6">
        <v>4</v>
      </c>
      <c r="E35" s="7">
        <f t="shared" si="3"/>
        <v>4</v>
      </c>
    </row>
    <row r="36" spans="1:6" ht="28.8" x14ac:dyDescent="0.3">
      <c r="A36" s="5" t="s">
        <v>71</v>
      </c>
      <c r="B36" s="6" t="s">
        <v>78</v>
      </c>
      <c r="C36" s="6">
        <v>2</v>
      </c>
      <c r="D36" s="6">
        <v>3</v>
      </c>
      <c r="E36" s="7">
        <f t="shared" si="3"/>
        <v>6</v>
      </c>
    </row>
    <row r="37" spans="1:6" ht="43.2" x14ac:dyDescent="0.3">
      <c r="A37" s="5" t="s">
        <v>72</v>
      </c>
      <c r="B37" s="6" t="s">
        <v>79</v>
      </c>
      <c r="C37" s="6">
        <v>1</v>
      </c>
      <c r="D37" s="6">
        <v>3</v>
      </c>
      <c r="E37" s="7">
        <f t="shared" si="3"/>
        <v>3</v>
      </c>
    </row>
    <row r="38" spans="1:6" ht="43.8" thickBot="1" x14ac:dyDescent="0.35">
      <c r="A38" s="8" t="s">
        <v>73</v>
      </c>
      <c r="B38" s="9" t="s">
        <v>80</v>
      </c>
      <c r="C38" s="9">
        <v>0.5</v>
      </c>
      <c r="D38" s="9">
        <v>4</v>
      </c>
      <c r="E38" s="10">
        <f t="shared" si="3"/>
        <v>2</v>
      </c>
    </row>
    <row r="39" spans="1:6" ht="15" thickBot="1" x14ac:dyDescent="0.35"/>
    <row r="40" spans="1:6" ht="28.8" x14ac:dyDescent="0.3">
      <c r="A40" s="2" t="s">
        <v>81</v>
      </c>
      <c r="B40" s="3" t="s">
        <v>82</v>
      </c>
      <c r="C40" s="3" t="s">
        <v>83</v>
      </c>
      <c r="D40" s="3" t="s">
        <v>84</v>
      </c>
      <c r="E40" s="3" t="s">
        <v>85</v>
      </c>
      <c r="F40" s="4" t="s">
        <v>86</v>
      </c>
    </row>
    <row r="41" spans="1:6" x14ac:dyDescent="0.3">
      <c r="A41" s="5" t="s">
        <v>14</v>
      </c>
      <c r="B41" s="6">
        <v>3</v>
      </c>
      <c r="C41" s="6">
        <v>5</v>
      </c>
      <c r="D41" s="6">
        <v>3</v>
      </c>
      <c r="E41" s="6">
        <f>MEDIAN(B41:D41)</f>
        <v>3</v>
      </c>
      <c r="F41" s="7">
        <f>E41*8</f>
        <v>24</v>
      </c>
    </row>
    <row r="42" spans="1:6" x14ac:dyDescent="0.3">
      <c r="A42" s="5" t="s">
        <v>15</v>
      </c>
      <c r="B42" s="6">
        <v>5</v>
      </c>
      <c r="C42" s="6">
        <v>8</v>
      </c>
      <c r="D42" s="6">
        <v>5</v>
      </c>
      <c r="E42" s="6">
        <f t="shared" ref="E42:E52" si="4">MEDIAN(B42:D42)</f>
        <v>5</v>
      </c>
      <c r="F42" s="7">
        <f t="shared" ref="F42:F52" si="5">E42*8</f>
        <v>40</v>
      </c>
    </row>
    <row r="43" spans="1:6" ht="28.8" x14ac:dyDescent="0.3">
      <c r="A43" s="5" t="s">
        <v>16</v>
      </c>
      <c r="B43" s="6">
        <v>5</v>
      </c>
      <c r="C43" s="6">
        <v>8</v>
      </c>
      <c r="D43" s="6">
        <v>5</v>
      </c>
      <c r="E43" s="6">
        <f t="shared" si="4"/>
        <v>5</v>
      </c>
      <c r="F43" s="7">
        <f t="shared" si="5"/>
        <v>40</v>
      </c>
    </row>
    <row r="44" spans="1:6" ht="28.8" x14ac:dyDescent="0.3">
      <c r="A44" s="5" t="s">
        <v>17</v>
      </c>
      <c r="B44" s="6">
        <v>5</v>
      </c>
      <c r="C44" s="6">
        <v>5</v>
      </c>
      <c r="D44" s="6">
        <v>8</v>
      </c>
      <c r="E44" s="6">
        <f t="shared" si="4"/>
        <v>5</v>
      </c>
      <c r="F44" s="7">
        <f t="shared" si="5"/>
        <v>40</v>
      </c>
    </row>
    <row r="45" spans="1:6" ht="28.8" x14ac:dyDescent="0.3">
      <c r="A45" s="5" t="s">
        <v>18</v>
      </c>
      <c r="B45" s="6">
        <v>5</v>
      </c>
      <c r="C45" s="6">
        <v>8</v>
      </c>
      <c r="D45" s="6">
        <v>8</v>
      </c>
      <c r="E45" s="6">
        <f t="shared" si="4"/>
        <v>8</v>
      </c>
      <c r="F45" s="7">
        <f t="shared" si="5"/>
        <v>64</v>
      </c>
    </row>
    <row r="46" spans="1:6" ht="28.8" x14ac:dyDescent="0.3">
      <c r="A46" s="5" t="s">
        <v>23</v>
      </c>
      <c r="B46" s="6">
        <v>5</v>
      </c>
      <c r="C46" s="6">
        <v>5</v>
      </c>
      <c r="D46" s="6">
        <v>5</v>
      </c>
      <c r="E46" s="6">
        <f t="shared" si="4"/>
        <v>5</v>
      </c>
      <c r="F46" s="7">
        <f t="shared" si="5"/>
        <v>40</v>
      </c>
    </row>
    <row r="47" spans="1:6" ht="28.8" x14ac:dyDescent="0.3">
      <c r="A47" s="5" t="s">
        <v>24</v>
      </c>
      <c r="B47" s="6">
        <v>8</v>
      </c>
      <c r="C47" s="6">
        <v>13</v>
      </c>
      <c r="D47" s="6">
        <v>8</v>
      </c>
      <c r="E47" s="6">
        <f t="shared" si="4"/>
        <v>8</v>
      </c>
      <c r="F47" s="7">
        <f t="shared" si="5"/>
        <v>64</v>
      </c>
    </row>
    <row r="48" spans="1:6" ht="28.8" x14ac:dyDescent="0.3">
      <c r="A48" s="5" t="s">
        <v>19</v>
      </c>
      <c r="B48" s="6">
        <v>8</v>
      </c>
      <c r="C48" s="6">
        <v>8</v>
      </c>
      <c r="D48" s="6">
        <v>13</v>
      </c>
      <c r="E48" s="6">
        <f t="shared" si="4"/>
        <v>8</v>
      </c>
      <c r="F48" s="7">
        <f t="shared" si="5"/>
        <v>64</v>
      </c>
    </row>
    <row r="49" spans="1:6" ht="28.8" x14ac:dyDescent="0.3">
      <c r="A49" s="5" t="s">
        <v>25</v>
      </c>
      <c r="B49" s="6">
        <v>8</v>
      </c>
      <c r="C49" s="6">
        <v>5</v>
      </c>
      <c r="D49" s="6">
        <v>8</v>
      </c>
      <c r="E49" s="6">
        <f t="shared" si="4"/>
        <v>8</v>
      </c>
      <c r="F49" s="7">
        <f t="shared" si="5"/>
        <v>64</v>
      </c>
    </row>
    <row r="50" spans="1:6" ht="28.8" x14ac:dyDescent="0.3">
      <c r="A50" s="5" t="s">
        <v>20</v>
      </c>
      <c r="B50" s="6">
        <v>8</v>
      </c>
      <c r="C50" s="6">
        <v>8</v>
      </c>
      <c r="D50" s="6">
        <v>13</v>
      </c>
      <c r="E50" s="6">
        <f t="shared" si="4"/>
        <v>8</v>
      </c>
      <c r="F50" s="7">
        <f t="shared" si="5"/>
        <v>64</v>
      </c>
    </row>
    <row r="51" spans="1:6" x14ac:dyDescent="0.3">
      <c r="A51" s="5" t="s">
        <v>21</v>
      </c>
      <c r="B51" s="6">
        <v>8</v>
      </c>
      <c r="C51" s="6">
        <v>8</v>
      </c>
      <c r="D51" s="6">
        <v>13</v>
      </c>
      <c r="E51" s="6">
        <f t="shared" si="4"/>
        <v>8</v>
      </c>
      <c r="F51" s="7">
        <f t="shared" si="5"/>
        <v>64</v>
      </c>
    </row>
    <row r="52" spans="1:6" ht="29.4" thickBot="1" x14ac:dyDescent="0.35">
      <c r="A52" s="8" t="s">
        <v>22</v>
      </c>
      <c r="B52" s="9">
        <v>8</v>
      </c>
      <c r="C52" s="9">
        <v>13</v>
      </c>
      <c r="D52" s="9">
        <v>13</v>
      </c>
      <c r="E52" s="9">
        <f t="shared" si="4"/>
        <v>13</v>
      </c>
      <c r="F52" s="10">
        <f t="shared" si="5"/>
        <v>104</v>
      </c>
    </row>
  </sheetData>
  <mergeCells count="1">
    <mergeCell ref="C15:G15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Вадим Михайлов</dc:creator>
  <cp:lastModifiedBy>Вадим Михайлов</cp:lastModifiedBy>
  <dcterms:created xsi:type="dcterms:W3CDTF">2015-06-05T18:19:34Z</dcterms:created>
  <dcterms:modified xsi:type="dcterms:W3CDTF">2026-01-15T14:04:06Z</dcterms:modified>
</cp:coreProperties>
</file>